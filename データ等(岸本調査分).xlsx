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chartsheets/sheet2.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Kohsu\Downloads\"/>
    </mc:Choice>
  </mc:AlternateContent>
  <xr:revisionPtr revIDLastSave="0" documentId="13_ncr:1_{F1F22DC7-B656-4065-B3F3-2A170AEFFFDB}" xr6:coauthVersionLast="47" xr6:coauthVersionMax="47" xr10:uidLastSave="{00000000-0000-0000-0000-000000000000}"/>
  <bookViews>
    <workbookView xWindow="-108" yWindow="-108" windowWidth="23256" windowHeight="12456" xr2:uid="{8D44A39A-087F-458E-8039-972161C10EA5}"/>
  </bookViews>
  <sheets>
    <sheet name="地域別人口" sheetId="1" r:id="rId1"/>
    <sheet name="地域別人口出典" sheetId="2" r:id="rId2"/>
    <sheet name="グラフ(地域別人口の推移)" sheetId="15" r:id="rId3"/>
    <sheet name="佐渡 車両数" sheetId="16" r:id="rId4"/>
    <sheet name="グラフ(佐渡車両数の推移)" sheetId="25" r:id="rId5"/>
    <sheet name="鉄道敷設 署名者数" sheetId="20" r:id="rId6"/>
    <sheet name="議事録・官報" sheetId="3" r:id="rId7"/>
  </sheets>
  <externalReferences>
    <externalReference r:id="rId8"/>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4" i="16" l="1"/>
  <c r="O27" i="16"/>
  <c r="O5" i="16"/>
  <c r="O6" i="16"/>
  <c r="O7" i="16"/>
  <c r="O8" i="16"/>
  <c r="O9" i="16"/>
  <c r="O10" i="16"/>
  <c r="O11" i="16"/>
  <c r="O12" i="16"/>
  <c r="O13" i="16"/>
  <c r="O14" i="16"/>
  <c r="O15" i="16"/>
  <c r="O16" i="16"/>
  <c r="O17" i="16"/>
  <c r="O18" i="16"/>
  <c r="O19" i="16"/>
  <c r="O20" i="16"/>
  <c r="O21" i="16"/>
  <c r="O22" i="16"/>
  <c r="O23" i="16"/>
  <c r="O24" i="16"/>
  <c r="O25" i="16"/>
  <c r="O26" i="16"/>
  <c r="O28" i="16"/>
  <c r="O4" i="16"/>
  <c r="P19" i="16"/>
  <c r="P18" i="16"/>
  <c r="P17" i="16"/>
  <c r="P5" i="16"/>
  <c r="P6" i="16"/>
  <c r="P7" i="16"/>
  <c r="P8" i="16"/>
  <c r="P9" i="16"/>
  <c r="P10" i="16"/>
  <c r="P11" i="16"/>
  <c r="P12" i="16"/>
  <c r="P13" i="16"/>
  <c r="P15" i="16"/>
  <c r="P16" i="16"/>
  <c r="P20" i="16"/>
  <c r="P21" i="16"/>
  <c r="P22" i="16"/>
  <c r="P23" i="16"/>
  <c r="P24" i="16"/>
  <c r="P25" i="16"/>
  <c r="P26" i="16"/>
  <c r="P27" i="16"/>
  <c r="P28" i="16"/>
  <c r="P4" i="16"/>
  <c r="T45" i="1"/>
  <c r="R25" i="1" l="1"/>
  <c r="R27" i="1"/>
  <c r="R9" i="1"/>
  <c r="R26" i="1"/>
  <c r="R28" i="1"/>
  <c r="R29" i="1"/>
  <c r="R30" i="1"/>
  <c r="R31" i="1"/>
  <c r="R32" i="1"/>
  <c r="R33" i="1"/>
  <c r="R34" i="1"/>
  <c r="R35" i="1"/>
  <c r="R36" i="1"/>
  <c r="R37" i="1"/>
  <c r="R38" i="1"/>
  <c r="R39" i="1"/>
  <c r="R40" i="1"/>
  <c r="R41" i="1"/>
  <c r="R42" i="1"/>
  <c r="R43" i="1"/>
  <c r="R44" i="1"/>
  <c r="R45" i="1"/>
  <c r="R46" i="1"/>
  <c r="R12" i="1"/>
  <c r="R13" i="1"/>
  <c r="R14" i="1"/>
  <c r="R15" i="1"/>
  <c r="R16" i="1"/>
  <c r="R10" i="1"/>
</calcChain>
</file>

<file path=xl/sharedStrings.xml><?xml version="1.0" encoding="utf-8"?>
<sst xmlns="http://schemas.openxmlformats.org/spreadsheetml/2006/main" count="688" uniqueCount="479">
  <si>
    <t>https://dl.ndl.go.jp/pid/806994/1/34</t>
    <phoneticPr fontId="1"/>
  </si>
  <si>
    <t>https://dl.ndl.go.jp/pid/972457/1/68</t>
    <phoneticPr fontId="1"/>
  </si>
  <si>
    <t>https://dl.ndl.go.jp/pid/972468/1/62</t>
    <phoneticPr fontId="1"/>
  </si>
  <si>
    <t>https://dl.ndl.go.jp/pid/806999/1/29</t>
    <phoneticPr fontId="1"/>
  </si>
  <si>
    <t>https://dl.ndl.go.jp/pid/806996/1/72</t>
    <phoneticPr fontId="1"/>
  </si>
  <si>
    <t>https://dl.ndl.go.jp/pid/806995/1/63</t>
    <phoneticPr fontId="1"/>
  </si>
  <si>
    <t>新潟県統計書 明治28-29年</t>
    <phoneticPr fontId="1"/>
  </si>
  <si>
    <t>新潟県統計書 明治30-31年</t>
    <phoneticPr fontId="1"/>
  </si>
  <si>
    <t>新潟県統計書 明治35年 教育・衛生・勧業・警察之部</t>
    <phoneticPr fontId="1"/>
  </si>
  <si>
    <t>新潟県統計書 明治36年</t>
    <phoneticPr fontId="1"/>
  </si>
  <si>
    <t>https://dl.ndl.go.jp/pid/806997/1/83</t>
    <phoneticPr fontId="1"/>
  </si>
  <si>
    <t>新潟県統計書 明治37年</t>
    <phoneticPr fontId="1"/>
  </si>
  <si>
    <t>新潟県統計書 明治38年 雑之部</t>
    <phoneticPr fontId="1"/>
  </si>
  <si>
    <t>新潟県統計書 大正4年 雑之部</t>
    <phoneticPr fontId="1"/>
  </si>
  <si>
    <t>新潟県統計書 大正11年 第1編 土地戸口財政其他</t>
    <phoneticPr fontId="1"/>
  </si>
  <si>
    <t>https://dl.ndl.go.jp/pid/972545/1/63</t>
    <phoneticPr fontId="1"/>
  </si>
  <si>
    <t>兵庫県統計書 大正4年 第1編</t>
    <phoneticPr fontId="1"/>
  </si>
  <si>
    <t>https://dl.ndl.go.jp/pid/972547/1/62</t>
    <phoneticPr fontId="1"/>
  </si>
  <si>
    <t>兵庫県統計書 大正5年 第1編</t>
    <phoneticPr fontId="1"/>
  </si>
  <si>
    <t>https://dl.ndl.go.jp/pid/972549/1/65</t>
    <phoneticPr fontId="1"/>
  </si>
  <si>
    <t>兵庫県統計書 大正6年 第1編</t>
    <phoneticPr fontId="1"/>
  </si>
  <si>
    <t>https://dl.ndl.go.jp/pid/972551/1/51</t>
    <phoneticPr fontId="1"/>
  </si>
  <si>
    <t>兵庫県統計書 大正7年 第1編</t>
    <phoneticPr fontId="1"/>
  </si>
  <si>
    <t>https://dl.ndl.go.jp/pid/972553/1/53</t>
    <phoneticPr fontId="1"/>
  </si>
  <si>
    <t>兵庫県統計書 大正8年 第1編</t>
    <phoneticPr fontId="1"/>
  </si>
  <si>
    <t>https://dl.ndl.go.jp/pid/972555/1/11</t>
    <phoneticPr fontId="1"/>
  </si>
  <si>
    <t>兵庫県統計書 大正9年 第1・2編</t>
    <phoneticPr fontId="1"/>
  </si>
  <si>
    <t>https://dl.ndl.go.jp/pid/972570/1/12</t>
    <phoneticPr fontId="1"/>
  </si>
  <si>
    <t>兵庫県統計書 大正10年 第1・2編</t>
    <phoneticPr fontId="1"/>
  </si>
  <si>
    <t>タイトル</t>
    <phoneticPr fontId="1"/>
  </si>
  <si>
    <t>URL</t>
    <phoneticPr fontId="1"/>
  </si>
  <si>
    <t>内容</t>
    <rPh sb="0" eb="2">
      <t>ナイヨウ</t>
    </rPh>
    <phoneticPr fontId="1"/>
  </si>
  <si>
    <t>日本全国郡区分人口表</t>
    <phoneticPr fontId="1"/>
  </si>
  <si>
    <t>https://dl.ndl.go.jp/pid/805935/1/9</t>
    <phoneticPr fontId="1"/>
  </si>
  <si>
    <t>日本帝国民籍戸口表 明治２７年１２月３１日調</t>
    <phoneticPr fontId="1"/>
  </si>
  <si>
    <t>https://dl.ndl.go.jp/pid/806018/1/161</t>
    <phoneticPr fontId="1"/>
  </si>
  <si>
    <t>日本帝国民籍戸口表 明治３０年１２月３１日調</t>
    <phoneticPr fontId="1"/>
  </si>
  <si>
    <t>https://dl.ndl.go.jp/pid/806019/1/13</t>
    <phoneticPr fontId="1"/>
  </si>
  <si>
    <t>日本帝国人口統計 明治31年</t>
    <phoneticPr fontId="1"/>
  </si>
  <si>
    <t>https://dl.ndl.go.jp/pid/805976/1/37</t>
    <phoneticPr fontId="1"/>
  </si>
  <si>
    <t>佐渡地域別</t>
    <rPh sb="0" eb="2">
      <t>サド</t>
    </rPh>
    <rPh sb="2" eb="5">
      <t>チイキベツ</t>
    </rPh>
    <phoneticPr fontId="1"/>
  </si>
  <si>
    <t>日本帝国人口静態統計 明治３６年１２月３１日調</t>
    <phoneticPr fontId="1"/>
  </si>
  <si>
    <t>https://dl.ndl.go.jp/pid/805974/1/32</t>
    <phoneticPr fontId="1"/>
  </si>
  <si>
    <t>河原田町</t>
    <rPh sb="0" eb="2">
      <t>カワラ</t>
    </rPh>
    <rPh sb="2" eb="3">
      <t>タ</t>
    </rPh>
    <rPh sb="3" eb="4">
      <t>マチ</t>
    </rPh>
    <phoneticPr fontId="1"/>
  </si>
  <si>
    <t>相川町</t>
    <rPh sb="0" eb="2">
      <t>アイカワ</t>
    </rPh>
    <rPh sb="2" eb="3">
      <t>チョウ</t>
    </rPh>
    <phoneticPr fontId="1"/>
  </si>
  <si>
    <t>https://d-infra.ier.hit-u.ac.jp/Japanese/govstat-database/xbrowser.html?r-path=statistical-yb/1882/tab_xlsx/1882_02_t002.xlsx&amp;date=20240215231945</t>
    <phoneticPr fontId="1"/>
  </si>
  <si>
    <t>統計年鑑</t>
    <phoneticPr fontId="1"/>
  </si>
  <si>
    <t>https://d-infra.ier.hit-u.ac.jp/Japanese/govstat-database/statistical-yb/1914/tab_jpeg/1914_040.jpg</t>
    <phoneticPr fontId="1"/>
  </si>
  <si>
    <t>統計年鑑</t>
    <rPh sb="0" eb="2">
      <t>トウケイ</t>
    </rPh>
    <rPh sb="2" eb="4">
      <t>ネンカン</t>
    </rPh>
    <phoneticPr fontId="1"/>
  </si>
  <si>
    <t>https://d-infra.ier.hit-u.ac.jp/Japanese/govstat-database/statistical-yb/1884/tab_jpeg/1884_038.jpg</t>
    <phoneticPr fontId="1"/>
  </si>
  <si>
    <t>第三統計年鑑</t>
    <phoneticPr fontId="1"/>
  </si>
  <si>
    <t>日本帝国第五統計年鑑</t>
    <phoneticPr fontId="1"/>
  </si>
  <si>
    <t>https://d-infra.ier.hit-u.ac.jp/Japanese/govstat-database/statistical-yb/1886/tab_jpeg/1886_037.jpg</t>
    <phoneticPr fontId="1"/>
  </si>
  <si>
    <t>日本帝国第八統計年鑑</t>
    <phoneticPr fontId="1"/>
  </si>
  <si>
    <t>日本帝国第九統計年鑑</t>
    <phoneticPr fontId="1"/>
  </si>
  <si>
    <t>日本帝国第十一統計年鑑</t>
    <phoneticPr fontId="1"/>
  </si>
  <si>
    <t>日本帝国第十七統計年鑑</t>
    <rPh sb="6" eb="7">
      <t>7</t>
    </rPh>
    <phoneticPr fontId="1"/>
  </si>
  <si>
    <t>https://d-infra.ier.hit-u.ac.jp/Japanese/govstat-database/statistical-yb/1898/tab_jpeg/1898_033.jpg</t>
    <phoneticPr fontId="1"/>
  </si>
  <si>
    <t>日本帝国第六統計年鑑</t>
    <phoneticPr fontId="1"/>
  </si>
  <si>
    <t>https://d-infra.ier.hit-u.ac.jp/Japanese/govstat-database/statistical-yb/1887/tab_jpeg/1887_036.jpg</t>
    <phoneticPr fontId="1"/>
  </si>
  <si>
    <t>https://d-infra.ier.hit-u.ac.jp/Japanese/govstat-database/statistical-yb/1890/tab_jpeg/1890_030.jpg</t>
    <phoneticPr fontId="1"/>
  </si>
  <si>
    <t>https://d-infra.ier.hit-u.ac.jp/Japanese/govstat-database/statistical-yb/1889/tab_jpeg/1889_029.jpg</t>
    <phoneticPr fontId="1"/>
  </si>
  <si>
    <t>https://d-infra.ier.hit-u.ac.jp/Japanese/govstat-database/xbrowser.html?r-path=statistical-yb/1892/tab_xlsx/1892_t015.xlsx&amp;date=20240215231945</t>
    <phoneticPr fontId="1"/>
  </si>
  <si>
    <t>https://dl.ndl.go.jp/pid/806993/1/75</t>
    <phoneticPr fontId="1"/>
  </si>
  <si>
    <t>帝国議会衆議院議事摘要 第42囘</t>
    <phoneticPr fontId="1"/>
  </si>
  <si>
    <t>https://dl.ndl.go.jp/pid/1335177/1/486</t>
    <phoneticPr fontId="1"/>
  </si>
  <si>
    <r>
      <t>二九　佐渡鉄道建設ニ関スル建議案
一　新潟県佐渡郡</t>
    </r>
    <r>
      <rPr>
        <sz val="11"/>
        <color rgb="FFFF0000"/>
        <rFont val="游ゴシック"/>
        <family val="3"/>
        <charset val="128"/>
        <scheme val="minor"/>
      </rPr>
      <t>両津町ニ起リ河原田町を経て相川町に至る鉄道及吉井村より分岐して新穂町、新町ヲ経テ小木町ニ至ル鉄道</t>
    </r>
    <r>
      <rPr>
        <sz val="11"/>
        <color theme="1"/>
        <rFont val="游ゴシック"/>
        <family val="2"/>
        <charset val="128"/>
        <scheme val="minor"/>
      </rPr>
      <t xml:space="preserve">
</t>
    </r>
    <r>
      <rPr>
        <sz val="11"/>
        <color theme="1"/>
        <rFont val="游ゴシック"/>
        <family val="2"/>
        <charset val="128"/>
      </rPr>
      <t xml:space="preserve">二　本線ノ建設ニ着手セラレムコトヲ望ム
右建議ス
</t>
    </r>
    <r>
      <rPr>
        <sz val="11"/>
        <color rgb="FFFF0000"/>
        <rFont val="游ゴシック"/>
        <family val="3"/>
        <charset val="128"/>
      </rPr>
      <t>右ハ九年二月二十四日山本悌二郎君外二名之ヲ提出シタルモ二月二十六日解散を命セラレタルニ依リ遂ニ院議ニ上ラザリキ</t>
    </r>
    <rPh sb="0" eb="2">
      <t>29</t>
    </rPh>
    <rPh sb="3" eb="5">
      <t>サド</t>
    </rPh>
    <rPh sb="5" eb="7">
      <t>テツドウ</t>
    </rPh>
    <rPh sb="7" eb="9">
      <t>ケンセツ</t>
    </rPh>
    <rPh sb="10" eb="11">
      <t>カン</t>
    </rPh>
    <rPh sb="13" eb="16">
      <t>ケンギアン</t>
    </rPh>
    <rPh sb="17" eb="18">
      <t>1</t>
    </rPh>
    <rPh sb="19" eb="22">
      <t>ニイガタケン</t>
    </rPh>
    <rPh sb="22" eb="25">
      <t>サドグン</t>
    </rPh>
    <rPh sb="25" eb="28">
      <t>リョウツチョウ</t>
    </rPh>
    <rPh sb="29" eb="30">
      <t>オ</t>
    </rPh>
    <rPh sb="31" eb="34">
      <t>カワラタ</t>
    </rPh>
    <rPh sb="34" eb="35">
      <t>マチ</t>
    </rPh>
    <rPh sb="36" eb="37">
      <t>ヘ</t>
    </rPh>
    <rPh sb="38" eb="41">
      <t>アイカワ</t>
    </rPh>
    <rPh sb="42" eb="43">
      <t>イタ</t>
    </rPh>
    <rPh sb="44" eb="46">
      <t>テツドウ</t>
    </rPh>
    <rPh sb="46" eb="47">
      <t>オヨ</t>
    </rPh>
    <rPh sb="47" eb="50">
      <t>ヨシイムラ</t>
    </rPh>
    <rPh sb="52" eb="54">
      <t>ブンキ</t>
    </rPh>
    <rPh sb="56" eb="58">
      <t>ニイボ</t>
    </rPh>
    <rPh sb="58" eb="59">
      <t>チョウ</t>
    </rPh>
    <rPh sb="60" eb="62">
      <t>シンマチ</t>
    </rPh>
    <rPh sb="63" eb="64">
      <t>ヘ</t>
    </rPh>
    <rPh sb="65" eb="68">
      <t>コウギチョウ</t>
    </rPh>
    <rPh sb="69" eb="70">
      <t>イタル</t>
    </rPh>
    <rPh sb="71" eb="73">
      <t>テツドウ</t>
    </rPh>
    <rPh sb="74" eb="75">
      <t>2</t>
    </rPh>
    <rPh sb="76" eb="78">
      <t>ホンセン</t>
    </rPh>
    <rPh sb="79" eb="81">
      <t>ケンセツ</t>
    </rPh>
    <rPh sb="82" eb="84">
      <t>チャクシュ</t>
    </rPh>
    <rPh sb="91" eb="92">
      <t>ノゾム</t>
    </rPh>
    <rPh sb="94" eb="95">
      <t>ミギ</t>
    </rPh>
    <rPh sb="95" eb="97">
      <t>ケンギ</t>
    </rPh>
    <rPh sb="100" eb="101">
      <t>ミギ</t>
    </rPh>
    <rPh sb="102" eb="103">
      <t>9</t>
    </rPh>
    <rPh sb="103" eb="104">
      <t>ネン</t>
    </rPh>
    <rPh sb="104" eb="105">
      <t>2</t>
    </rPh>
    <rPh sb="105" eb="106">
      <t>ガツ</t>
    </rPh>
    <rPh sb="106" eb="109">
      <t>ニジュウヨン</t>
    </rPh>
    <rPh sb="109" eb="110">
      <t>ニチ</t>
    </rPh>
    <rPh sb="110" eb="112">
      <t>ヤマモト</t>
    </rPh>
    <rPh sb="112" eb="113">
      <t>テイ</t>
    </rPh>
    <rPh sb="113" eb="114">
      <t>2</t>
    </rPh>
    <rPh sb="114" eb="115">
      <t>ロウ</t>
    </rPh>
    <rPh sb="115" eb="116">
      <t>クン</t>
    </rPh>
    <rPh sb="116" eb="117">
      <t>ソト</t>
    </rPh>
    <rPh sb="117" eb="118">
      <t>2</t>
    </rPh>
    <rPh sb="118" eb="119">
      <t>メイ</t>
    </rPh>
    <rPh sb="119" eb="120">
      <t>コレ</t>
    </rPh>
    <rPh sb="121" eb="123">
      <t>テイシュツ</t>
    </rPh>
    <rPh sb="127" eb="129">
      <t>ニガツ</t>
    </rPh>
    <rPh sb="129" eb="132">
      <t>ニジュウロク</t>
    </rPh>
    <rPh sb="132" eb="133">
      <t>ニチ</t>
    </rPh>
    <rPh sb="133" eb="135">
      <t>カイサン</t>
    </rPh>
    <rPh sb="136" eb="137">
      <t>メイ</t>
    </rPh>
    <rPh sb="143" eb="144">
      <t>ヨ</t>
    </rPh>
    <rPh sb="145" eb="146">
      <t>ツイ</t>
    </rPh>
    <rPh sb="147" eb="149">
      <t>インギ</t>
    </rPh>
    <rPh sb="150" eb="151">
      <t>ウエ</t>
    </rPh>
    <phoneticPr fontId="1"/>
  </si>
  <si>
    <t>帝国議会貴族院委員会会議録 44囘</t>
    <phoneticPr fontId="1"/>
  </si>
  <si>
    <t>https://dl.ndl.go.jp/pid/1337812/1/302</t>
    <phoneticPr fontId="1"/>
  </si>
  <si>
    <t>年</t>
    <rPh sb="0" eb="1">
      <t>トシ</t>
    </rPh>
    <phoneticPr fontId="1"/>
  </si>
  <si>
    <t>※旧字体は入力の手間を省くため，場合によって新字体に変更した．</t>
    <rPh sb="1" eb="4">
      <t>キュウジタイ</t>
    </rPh>
    <rPh sb="5" eb="7">
      <t>ニュウリョク</t>
    </rPh>
    <rPh sb="8" eb="10">
      <t>テマ</t>
    </rPh>
    <rPh sb="11" eb="12">
      <t>ハブ</t>
    </rPh>
    <rPh sb="16" eb="18">
      <t>バアイ</t>
    </rPh>
    <rPh sb="22" eb="25">
      <t>シンジタイ</t>
    </rPh>
    <rPh sb="26" eb="28">
      <t>ヘンコウ</t>
    </rPh>
    <phoneticPr fontId="1"/>
  </si>
  <si>
    <t>帝国議会貴族院委員会会議録 45囘</t>
    <phoneticPr fontId="1"/>
  </si>
  <si>
    <t>https://dl.ndl.go.jp/pid/1337808/1/324</t>
    <phoneticPr fontId="1"/>
  </si>
  <si>
    <t>帝国議会貴族院事務局報告 第44囘</t>
    <phoneticPr fontId="1"/>
  </si>
  <si>
    <t>https://dl.ndl.go.jp/pid/1682602/1/358</t>
    <phoneticPr fontId="1"/>
  </si>
  <si>
    <t>備考</t>
    <rPh sb="0" eb="2">
      <t>ビコウ</t>
    </rPh>
    <phoneticPr fontId="1"/>
  </si>
  <si>
    <t>山本悌二郎君外二名の外二名は，高島順作・丸山？？一郎(『大日本帝国議会誌 第１１巻（第４０－４２議会），総索引』https://dl.ndl.go.jp/pid/1448181/1/954?keyword=%E4%BD%90%E6%B8%A1%E9%89%84%E9%81%93)</t>
    <rPh sb="10" eb="11">
      <t>ソト</t>
    </rPh>
    <rPh sb="11" eb="12">
      <t>2</t>
    </rPh>
    <rPh sb="12" eb="13">
      <t>メイ</t>
    </rPh>
    <rPh sb="15" eb="17">
      <t>タカシマ</t>
    </rPh>
    <rPh sb="17" eb="18">
      <t>ジュン</t>
    </rPh>
    <rPh sb="18" eb="19">
      <t>サク</t>
    </rPh>
    <rPh sb="20" eb="22">
      <t>マルヤマ</t>
    </rPh>
    <rPh sb="24" eb="26">
      <t>イチロウ</t>
    </rPh>
    <phoneticPr fontId="1"/>
  </si>
  <si>
    <t>衆議院議事録 第44巻 第1-37</t>
    <phoneticPr fontId="1"/>
  </si>
  <si>
    <t>帝国議会衆議院報告 第42回</t>
    <phoneticPr fontId="1"/>
  </si>
  <si>
    <t>官報 1920年02月25日</t>
    <phoneticPr fontId="1"/>
  </si>
  <si>
    <t>衆議院議案件名録 自第41囘議會至第50囘議會</t>
    <phoneticPr fontId="1"/>
  </si>
  <si>
    <t>大日本帝国議会誌 第１１巻（第４０－４２議会），総索引</t>
    <phoneticPr fontId="1"/>
  </si>
  <si>
    <t>衆議院議案件名録 自第1回議会至第60回議会</t>
    <phoneticPr fontId="1"/>
  </si>
  <si>
    <t>明治10</t>
    <rPh sb="0" eb="2">
      <t>メイジ</t>
    </rPh>
    <phoneticPr fontId="1"/>
  </si>
  <si>
    <t>明治11</t>
    <rPh sb="0" eb="2">
      <t>メイジ</t>
    </rPh>
    <phoneticPr fontId="1"/>
  </si>
  <si>
    <t>明治12</t>
    <rPh sb="0" eb="2">
      <t>メイジ</t>
    </rPh>
    <phoneticPr fontId="1"/>
  </si>
  <si>
    <t>明治13</t>
    <rPh sb="0" eb="2">
      <t>メイジ</t>
    </rPh>
    <phoneticPr fontId="1"/>
  </si>
  <si>
    <t>明治14</t>
    <rPh sb="0" eb="2">
      <t>メイジ</t>
    </rPh>
    <phoneticPr fontId="1"/>
  </si>
  <si>
    <t>明治15</t>
    <rPh sb="0" eb="2">
      <t>メイジ</t>
    </rPh>
    <phoneticPr fontId="1"/>
  </si>
  <si>
    <t>明治16</t>
    <rPh sb="0" eb="2">
      <t>メイジ</t>
    </rPh>
    <phoneticPr fontId="1"/>
  </si>
  <si>
    <t>明治17</t>
    <rPh sb="0" eb="2">
      <t>メイジ</t>
    </rPh>
    <phoneticPr fontId="1"/>
  </si>
  <si>
    <t>明治18</t>
    <rPh sb="0" eb="2">
      <t>メイジ</t>
    </rPh>
    <phoneticPr fontId="1"/>
  </si>
  <si>
    <t>明治19</t>
    <rPh sb="0" eb="2">
      <t>メイジ</t>
    </rPh>
    <phoneticPr fontId="1"/>
  </si>
  <si>
    <t>明治20</t>
    <rPh sb="0" eb="2">
      <t>メイジ</t>
    </rPh>
    <phoneticPr fontId="1"/>
  </si>
  <si>
    <t>明治21</t>
    <rPh sb="0" eb="2">
      <t>メイジ</t>
    </rPh>
    <phoneticPr fontId="1"/>
  </si>
  <si>
    <t>明治22</t>
    <rPh sb="0" eb="2">
      <t>メイジ</t>
    </rPh>
    <phoneticPr fontId="1"/>
  </si>
  <si>
    <t>明治23</t>
    <rPh sb="0" eb="2">
      <t>メイジ</t>
    </rPh>
    <phoneticPr fontId="1"/>
  </si>
  <si>
    <t>明治24</t>
    <rPh sb="0" eb="2">
      <t>メイジ</t>
    </rPh>
    <phoneticPr fontId="1"/>
  </si>
  <si>
    <t>明治25</t>
    <rPh sb="0" eb="2">
      <t>メイジ</t>
    </rPh>
    <phoneticPr fontId="1"/>
  </si>
  <si>
    <t>明治26</t>
    <rPh sb="0" eb="2">
      <t>メイジ</t>
    </rPh>
    <phoneticPr fontId="1"/>
  </si>
  <si>
    <t>明治27</t>
    <rPh sb="0" eb="2">
      <t>メイジ</t>
    </rPh>
    <phoneticPr fontId="1"/>
  </si>
  <si>
    <t>明治28</t>
    <rPh sb="0" eb="2">
      <t>メイジ</t>
    </rPh>
    <phoneticPr fontId="1"/>
  </si>
  <si>
    <t>明治29</t>
    <rPh sb="0" eb="2">
      <t>メイジ</t>
    </rPh>
    <phoneticPr fontId="1"/>
  </si>
  <si>
    <t>明治30</t>
    <rPh sb="0" eb="2">
      <t>メイジ</t>
    </rPh>
    <phoneticPr fontId="1"/>
  </si>
  <si>
    <t>明治31</t>
    <rPh sb="0" eb="2">
      <t>メイジ</t>
    </rPh>
    <phoneticPr fontId="1"/>
  </si>
  <si>
    <t>明治32</t>
    <rPh sb="0" eb="2">
      <t>メイジ</t>
    </rPh>
    <phoneticPr fontId="1"/>
  </si>
  <si>
    <t>明治33</t>
    <rPh sb="0" eb="2">
      <t>メイジ</t>
    </rPh>
    <phoneticPr fontId="1"/>
  </si>
  <si>
    <t>明治34</t>
    <rPh sb="0" eb="2">
      <t>メイジ</t>
    </rPh>
    <phoneticPr fontId="1"/>
  </si>
  <si>
    <t>明治35</t>
    <rPh sb="0" eb="2">
      <t>メイジ</t>
    </rPh>
    <phoneticPr fontId="1"/>
  </si>
  <si>
    <t>明治36</t>
    <rPh sb="0" eb="2">
      <t>メイジ</t>
    </rPh>
    <phoneticPr fontId="1"/>
  </si>
  <si>
    <t>明治37</t>
    <rPh sb="0" eb="2">
      <t>メイジ</t>
    </rPh>
    <phoneticPr fontId="1"/>
  </si>
  <si>
    <t>明治38</t>
    <rPh sb="0" eb="2">
      <t>メイジ</t>
    </rPh>
    <phoneticPr fontId="1"/>
  </si>
  <si>
    <t>明治39</t>
    <rPh sb="0" eb="2">
      <t>メイジ</t>
    </rPh>
    <phoneticPr fontId="1"/>
  </si>
  <si>
    <t>明治40</t>
    <rPh sb="0" eb="2">
      <t>メイジ</t>
    </rPh>
    <phoneticPr fontId="1"/>
  </si>
  <si>
    <t>明治41</t>
    <rPh sb="0" eb="2">
      <t>メイジ</t>
    </rPh>
    <phoneticPr fontId="1"/>
  </si>
  <si>
    <t>明治42</t>
    <rPh sb="0" eb="2">
      <t>メイジ</t>
    </rPh>
    <phoneticPr fontId="1"/>
  </si>
  <si>
    <t>明治43</t>
    <rPh sb="0" eb="2">
      <t>メイジ</t>
    </rPh>
    <phoneticPr fontId="1"/>
  </si>
  <si>
    <t>明治44</t>
    <rPh sb="0" eb="2">
      <t>メイジ</t>
    </rPh>
    <phoneticPr fontId="1"/>
  </si>
  <si>
    <t>明治45：大正元</t>
    <rPh sb="0" eb="2">
      <t>メイジ</t>
    </rPh>
    <rPh sb="5" eb="7">
      <t>タイショウ</t>
    </rPh>
    <rPh sb="7" eb="8">
      <t>モト</t>
    </rPh>
    <phoneticPr fontId="1"/>
  </si>
  <si>
    <t>大正2</t>
    <rPh sb="0" eb="2">
      <t>タイショウ</t>
    </rPh>
    <phoneticPr fontId="1"/>
  </si>
  <si>
    <t>大正3</t>
    <rPh sb="0" eb="2">
      <t>タイショウ</t>
    </rPh>
    <phoneticPr fontId="1"/>
  </si>
  <si>
    <t>大正4</t>
    <rPh sb="0" eb="2">
      <t>タイショウ</t>
    </rPh>
    <phoneticPr fontId="1"/>
  </si>
  <si>
    <t>大正5</t>
    <rPh sb="0" eb="2">
      <t>タイショウ</t>
    </rPh>
    <phoneticPr fontId="1"/>
  </si>
  <si>
    <t>大正6</t>
    <rPh sb="0" eb="2">
      <t>タイショウ</t>
    </rPh>
    <phoneticPr fontId="1"/>
  </si>
  <si>
    <t>大正7</t>
    <rPh sb="0" eb="2">
      <t>タイショウ</t>
    </rPh>
    <phoneticPr fontId="1"/>
  </si>
  <si>
    <t>大正8</t>
    <rPh sb="0" eb="2">
      <t>タイショウ</t>
    </rPh>
    <phoneticPr fontId="1"/>
  </si>
  <si>
    <t>大正9</t>
    <rPh sb="0" eb="2">
      <t>タイショウ</t>
    </rPh>
    <phoneticPr fontId="1"/>
  </si>
  <si>
    <t>大正10</t>
    <rPh sb="0" eb="2">
      <t>タイショウ</t>
    </rPh>
    <phoneticPr fontId="1"/>
  </si>
  <si>
    <t>明治14-15</t>
    <rPh sb="0" eb="2">
      <t>メイジ</t>
    </rPh>
    <phoneticPr fontId="1"/>
  </si>
  <si>
    <t>明治16-17</t>
    <rPh sb="0" eb="2">
      <t>メイジ</t>
    </rPh>
    <phoneticPr fontId="1"/>
  </si>
  <si>
    <t>明治18-19</t>
    <rPh sb="0" eb="2">
      <t>メイジ</t>
    </rPh>
    <phoneticPr fontId="1"/>
  </si>
  <si>
    <t>明治22-23</t>
    <rPh sb="0" eb="2">
      <t>メイジ</t>
    </rPh>
    <phoneticPr fontId="1"/>
  </si>
  <si>
    <t>明治24-26</t>
    <rPh sb="0" eb="2">
      <t>メイジ</t>
    </rPh>
    <phoneticPr fontId="1"/>
  </si>
  <si>
    <t>明治27</t>
    <phoneticPr fontId="1"/>
  </si>
  <si>
    <t>明治28-29</t>
    <phoneticPr fontId="1"/>
  </si>
  <si>
    <t>明治37</t>
    <phoneticPr fontId="1"/>
  </si>
  <si>
    <t>明治39-大正4</t>
    <rPh sb="0" eb="2">
      <t>メイジ</t>
    </rPh>
    <rPh sb="5" eb="7">
      <t>タイショウ</t>
    </rPh>
    <phoneticPr fontId="1"/>
  </si>
  <si>
    <t>大正2-大正11</t>
    <rPh sb="0" eb="2">
      <t>タイショウ</t>
    </rPh>
    <rPh sb="4" eb="6">
      <t>タイショウ</t>
    </rPh>
    <phoneticPr fontId="1"/>
  </si>
  <si>
    <t>1920-1921</t>
    <phoneticPr fontId="1"/>
  </si>
  <si>
    <t>https://dl.ndl.go.jp/pid/1351801/1/566
https://dl.ndl.go.jp/pid/1351801/1/584</t>
    <phoneticPr fontId="1"/>
  </si>
  <si>
    <t>https://dl.ndl.go.jp/pid/1674829/1/45</t>
    <phoneticPr fontId="1"/>
  </si>
  <si>
    <t>https://dl.ndl.go.jp/pid/1674807/1/88</t>
    <phoneticPr fontId="1"/>
  </si>
  <si>
    <t>https://dl.ndl.go.jp/pid/1682600/1/312</t>
    <phoneticPr fontId="1"/>
  </si>
  <si>
    <t>https://dl.ndl.go.jp/pid/1351250/1/72
https://dl.ndl.go.jp/pid/1351250/1/162</t>
    <phoneticPr fontId="1"/>
  </si>
  <si>
    <t>https://dl.ndl.go.jp/pid/1448181/1/954</t>
    <phoneticPr fontId="1"/>
  </si>
  <si>
    <t>https://dl.ndl.go.jp/pid/1269151/1/337
https://dl.ndl.go.jp/pid/1269151/1/632</t>
    <phoneticPr fontId="1"/>
  </si>
  <si>
    <t>https://dl.ndl.go.jp/pid/2954379/1/6</t>
    <phoneticPr fontId="1"/>
  </si>
  <si>
    <t>https://dl.ndl.go.jp/pid/2954704/1/10</t>
    <phoneticPr fontId="1"/>
  </si>
  <si>
    <t>https://dl.ndl.go.jp/pid/2954705/1/10
https://dl.ndl.go.jp/pid/2954705/1/11?keyword=%E4%BD%90%E6%B8%A1%E9%89%84%E9%81%93</t>
    <phoneticPr fontId="1"/>
  </si>
  <si>
    <r>
      <t>請願文書表第百四十四号　佐渡鉄道敷設ノ請願書摘要
新潟県佐渡郡ハ近時産業盛大トナレルノミナラス眞野御陵、日蓮上人ノ遺跡等アリテ貨客ノ出入頻繫ナルニモ拘ラス運輸機関ノ備ハサルハ産業並文化ノ発展上遺憾ナルヲ以テ相川両津間鉄道ヲ</t>
    </r>
    <r>
      <rPr>
        <sz val="11"/>
        <color rgb="FFFF0000"/>
        <rFont val="游ゴシック"/>
        <family val="3"/>
        <charset val="128"/>
        <scheme val="minor"/>
      </rPr>
      <t>大正十年又ハ大正十一年ヨリ起工速成シ</t>
    </r>
    <r>
      <rPr>
        <sz val="11"/>
        <color theme="1"/>
        <rFont val="游ゴシック"/>
        <family val="2"/>
        <charset val="128"/>
        <scheme val="minor"/>
      </rPr>
      <t>且小木相川間鉄道ヲ敷設シテ本州トノ連絡ヲ完カラシメラレタシ</t>
    </r>
    <rPh sb="0" eb="5">
      <t>セイガンブンショヒョウ</t>
    </rPh>
    <rPh sb="5" eb="6">
      <t>ダイ</t>
    </rPh>
    <rPh sb="6" eb="10">
      <t>144</t>
    </rPh>
    <rPh sb="10" eb="11">
      <t>ゴウ</t>
    </rPh>
    <rPh sb="12" eb="16">
      <t>サ</t>
    </rPh>
    <rPh sb="16" eb="18">
      <t>フセツ</t>
    </rPh>
    <rPh sb="19" eb="22">
      <t>セイガンショ</t>
    </rPh>
    <rPh sb="22" eb="24">
      <t>テキヨウ</t>
    </rPh>
    <rPh sb="25" eb="28">
      <t>ニイガタケン</t>
    </rPh>
    <rPh sb="28" eb="31">
      <t>サドグン</t>
    </rPh>
    <rPh sb="32" eb="33">
      <t>チカ</t>
    </rPh>
    <rPh sb="33" eb="34">
      <t>トキ</t>
    </rPh>
    <rPh sb="34" eb="36">
      <t>サンギョウ</t>
    </rPh>
    <rPh sb="36" eb="38">
      <t>セイダイ</t>
    </rPh>
    <rPh sb="47" eb="48">
      <t>マコト</t>
    </rPh>
    <rPh sb="48" eb="49">
      <t>ノ</t>
    </rPh>
    <rPh sb="49" eb="51">
      <t>ゴリョウ</t>
    </rPh>
    <rPh sb="52" eb="54">
      <t>ニチレン</t>
    </rPh>
    <rPh sb="54" eb="55">
      <t>ウエ</t>
    </rPh>
    <rPh sb="55" eb="56">
      <t>ヒト</t>
    </rPh>
    <rPh sb="57" eb="60">
      <t>イセキトウ</t>
    </rPh>
    <phoneticPr fontId="1"/>
  </si>
  <si>
    <r>
      <t>請願文書表第五百六十九号　佐渡鉄道敷設ノ請願書摘要
新潟県佐渡郡</t>
    </r>
    <r>
      <rPr>
        <sz val="11"/>
        <color rgb="FFFF0000"/>
        <rFont val="游ゴシック"/>
        <family val="3"/>
        <charset val="128"/>
        <scheme val="minor"/>
      </rPr>
      <t>両津港ヨリ眞野村ヲ経テ相川町ニ至ル鉄道並眞野村ヨリ西</t>
    </r>
    <r>
      <rPr>
        <sz val="11"/>
        <color rgb="FFFF0000"/>
        <rFont val="游ゴシック"/>
        <family val="3"/>
        <charset val="128"/>
      </rPr>
      <t>三川村ヲ経テ小木港ニ至ル鉄道</t>
    </r>
    <r>
      <rPr>
        <sz val="11"/>
        <color theme="1"/>
        <rFont val="游ゴシック"/>
        <family val="2"/>
        <charset val="128"/>
      </rPr>
      <t>ハ古来海陸物資ノ豊富ヲ以テ著名ナル本郡ノ発展ニ貢献スルコト大ナルノミナラス眞野御陵日蓮聖人ノ遺跡等ニ至ル旅客ニ利便ヲ興フルモノナルニ依リ</t>
    </r>
    <r>
      <rPr>
        <sz val="11"/>
        <color rgb="FFFF0000"/>
        <rFont val="游ゴシック"/>
        <family val="3"/>
        <charset val="128"/>
      </rPr>
      <t>大正十一年度ニ起工ノ計画ヲタテラレタシ</t>
    </r>
    <rPh sb="0" eb="4">
      <t>セイガンブンショ</t>
    </rPh>
    <rPh sb="4" eb="5">
      <t>ヒョウ</t>
    </rPh>
    <rPh sb="5" eb="6">
      <t>ダイ</t>
    </rPh>
    <rPh sb="6" eb="11">
      <t>569</t>
    </rPh>
    <rPh sb="11" eb="12">
      <t>ゴウ</t>
    </rPh>
    <rPh sb="13" eb="17">
      <t>サドテツドウ</t>
    </rPh>
    <rPh sb="17" eb="19">
      <t>フセツ</t>
    </rPh>
    <rPh sb="20" eb="23">
      <t>セイガンショ</t>
    </rPh>
    <rPh sb="23" eb="25">
      <t>テキヨウ</t>
    </rPh>
    <rPh sb="26" eb="29">
      <t>ニイガタケン</t>
    </rPh>
    <rPh sb="29" eb="32">
      <t>サドグン</t>
    </rPh>
    <rPh sb="32" eb="35">
      <t>リョウツコウ</t>
    </rPh>
    <rPh sb="37" eb="38">
      <t>マコト</t>
    </rPh>
    <rPh sb="38" eb="40">
      <t>ノムラ</t>
    </rPh>
    <rPh sb="41" eb="42">
      <t>キョウ</t>
    </rPh>
    <rPh sb="43" eb="46">
      <t>アイカワマチ</t>
    </rPh>
    <rPh sb="47" eb="48">
      <t>イタル</t>
    </rPh>
    <rPh sb="49" eb="51">
      <t>テツドウ</t>
    </rPh>
    <rPh sb="51" eb="52">
      <t>ナミ</t>
    </rPh>
    <rPh sb="52" eb="53">
      <t>マコト</t>
    </rPh>
    <rPh sb="53" eb="55">
      <t>ノムラ</t>
    </rPh>
    <rPh sb="57" eb="58">
      <t>ニシ</t>
    </rPh>
    <rPh sb="58" eb="59">
      <t>ミ</t>
    </rPh>
    <rPh sb="59" eb="61">
      <t>カワムラ</t>
    </rPh>
    <rPh sb="62" eb="63">
      <t>キョウ</t>
    </rPh>
    <rPh sb="64" eb="66">
      <t>オギ</t>
    </rPh>
    <rPh sb="66" eb="67">
      <t>コウ</t>
    </rPh>
    <rPh sb="68" eb="69">
      <t>イタル</t>
    </rPh>
    <rPh sb="70" eb="72">
      <t>テツドウ</t>
    </rPh>
    <rPh sb="73" eb="75">
      <t>コライ</t>
    </rPh>
    <rPh sb="75" eb="79">
      <t>カイリクブッシ</t>
    </rPh>
    <rPh sb="80" eb="82">
      <t>ホウフ</t>
    </rPh>
    <rPh sb="83" eb="84">
      <t>モッ</t>
    </rPh>
    <rPh sb="85" eb="87">
      <t>チョメイ</t>
    </rPh>
    <rPh sb="89" eb="90">
      <t>ホン</t>
    </rPh>
    <rPh sb="90" eb="91">
      <t>グン</t>
    </rPh>
    <rPh sb="92" eb="94">
      <t>ハッテン</t>
    </rPh>
    <rPh sb="95" eb="97">
      <t>コウケン</t>
    </rPh>
    <rPh sb="101" eb="102">
      <t>ダイ</t>
    </rPh>
    <phoneticPr fontId="1"/>
  </si>
  <si>
    <t>吉井村</t>
    <rPh sb="0" eb="2">
      <t>ヨシイ</t>
    </rPh>
    <rPh sb="2" eb="3">
      <t>ムラ</t>
    </rPh>
    <phoneticPr fontId="1"/>
  </si>
  <si>
    <t>新穂町</t>
    <rPh sb="0" eb="3">
      <t>ニイホマチ</t>
    </rPh>
    <phoneticPr fontId="1"/>
  </si>
  <si>
    <t>新町</t>
    <rPh sb="0" eb="2">
      <t>シンマチ</t>
    </rPh>
    <phoneticPr fontId="1"/>
  </si>
  <si>
    <t>小木町</t>
    <rPh sb="0" eb="1">
      <t>ショウ</t>
    </rPh>
    <rPh sb="1" eb="2">
      <t>キ</t>
    </rPh>
    <rPh sb="2" eb="3">
      <t>チョウ</t>
    </rPh>
    <phoneticPr fontId="1"/>
  </si>
  <si>
    <t>地域別人口出典</t>
    <rPh sb="0" eb="3">
      <t>チイキベツ</t>
    </rPh>
    <rPh sb="3" eb="5">
      <t>ジンコウ</t>
    </rPh>
    <rPh sb="5" eb="7">
      <t>シュッテン</t>
    </rPh>
    <phoneticPr fontId="1"/>
  </si>
  <si>
    <t>https://dl.ndl.go.jp/pid/805976/1/36</t>
    <phoneticPr fontId="1"/>
  </si>
  <si>
    <t>夷町(両津町)</t>
    <rPh sb="0" eb="1">
      <t>エビス</t>
    </rPh>
    <rPh sb="1" eb="2">
      <t>マチ</t>
    </rPh>
    <rPh sb="3" eb="5">
      <t>リョウツ</t>
    </rPh>
    <rPh sb="5" eb="6">
      <t>マチ</t>
    </rPh>
    <phoneticPr fontId="1"/>
  </si>
  <si>
    <t>日本帝国人口静態統計 明治４１年１２月３１日調</t>
    <phoneticPr fontId="1"/>
  </si>
  <si>
    <t>https://dl.ndl.go.jp/pid/805975/1/48</t>
    <phoneticPr fontId="1"/>
  </si>
  <si>
    <t>https://dl.ndl.go.jp/pid/3021886/1/268</t>
    <phoneticPr fontId="1"/>
  </si>
  <si>
    <t>新潟県市町村合併誌 上巻</t>
    <phoneticPr fontId="1"/>
  </si>
  <si>
    <t>https://dl.ndl.go.jp/pid/907062/1/18</t>
    <phoneticPr fontId="1"/>
  </si>
  <si>
    <t>日本国勢調査記念録 新潟県</t>
    <phoneticPr fontId="1"/>
  </si>
  <si>
    <t>澤(沢)根町</t>
    <rPh sb="0" eb="1">
      <t>サワ</t>
    </rPh>
    <rPh sb="2" eb="3">
      <t>サワ</t>
    </rPh>
    <rPh sb="4" eb="5">
      <t>ネ</t>
    </rPh>
    <rPh sb="5" eb="6">
      <t>マチ</t>
    </rPh>
    <phoneticPr fontId="1"/>
  </si>
  <si>
    <t>眞(真)野村</t>
    <rPh sb="0" eb="1">
      <t>マコト</t>
    </rPh>
    <rPh sb="2" eb="3">
      <t>マコト</t>
    </rPh>
    <rPh sb="4" eb="6">
      <t>ノムラ</t>
    </rPh>
    <rPh sb="5" eb="6">
      <t>ムラ</t>
    </rPh>
    <phoneticPr fontId="1"/>
  </si>
  <si>
    <t>西三川村</t>
    <rPh sb="0" eb="1">
      <t>ニシ</t>
    </rPh>
    <rPh sb="1" eb="2">
      <t>3</t>
    </rPh>
    <rPh sb="2" eb="3">
      <t>カワ</t>
    </rPh>
    <rPh sb="3" eb="4">
      <t>ムラ</t>
    </rPh>
    <phoneticPr fontId="1"/>
  </si>
  <si>
    <t>https://dl.ndl.go.jp/pid/806800/1/11</t>
    <phoneticPr fontId="1"/>
  </si>
  <si>
    <t>佐渡町村統計明鑑</t>
    <phoneticPr fontId="1"/>
  </si>
  <si>
    <t>統計集誌 (308)</t>
    <phoneticPr fontId="1"/>
  </si>
  <si>
    <t>https://dl.ndl.go.jp/pid/1573176/1/15</t>
    <phoneticPr fontId="1"/>
  </si>
  <si>
    <r>
      <t>統計集</t>
    </r>
    <r>
      <rPr>
        <sz val="11"/>
        <color theme="1"/>
        <rFont val="游ゴシック"/>
        <family val="2"/>
        <charset val="128"/>
      </rPr>
      <t>誌（151）</t>
    </r>
    <rPh sb="0" eb="2">
      <t>トウケイ</t>
    </rPh>
    <rPh sb="2" eb="3">
      <t>シュウ</t>
    </rPh>
    <rPh sb="3" eb="4">
      <t>シ</t>
    </rPh>
    <phoneticPr fontId="1"/>
  </si>
  <si>
    <t>明治19-31(相川)</t>
    <rPh sb="0" eb="2">
      <t>メイジ</t>
    </rPh>
    <rPh sb="8" eb="10">
      <t>アイカワ</t>
    </rPh>
    <phoneticPr fontId="1"/>
  </si>
  <si>
    <t>明治21(夷，相川，吉井，新穂)</t>
    <rPh sb="0" eb="2">
      <t>メイジ</t>
    </rPh>
    <rPh sb="5" eb="6">
      <t>エビス</t>
    </rPh>
    <rPh sb="7" eb="9">
      <t>アイカワ</t>
    </rPh>
    <rPh sb="10" eb="12">
      <t>ヨシイ</t>
    </rPh>
    <rPh sb="13" eb="15">
      <t>ニイボ</t>
    </rPh>
    <phoneticPr fontId="1"/>
  </si>
  <si>
    <t>大正3(相川)</t>
    <rPh sb="0" eb="2">
      <t>タイショウ</t>
    </rPh>
    <rPh sb="4" eb="6">
      <t>アイカワ</t>
    </rPh>
    <phoneticPr fontId="1"/>
  </si>
  <si>
    <t>新潟県佐渡郡郡勢一斑 第1回</t>
    <phoneticPr fontId="1"/>
  </si>
  <si>
    <t>https://dl.ndl.go.jp/pid/806978/1/13</t>
    <phoneticPr fontId="1"/>
  </si>
  <si>
    <t>新潟県佐渡郡郡勢一斑 第2回</t>
    <phoneticPr fontId="1"/>
  </si>
  <si>
    <t>https://dl.ndl.go.jp/pid/916522/1/26</t>
    <phoneticPr fontId="1"/>
  </si>
  <si>
    <t>新潟県佐渡郡郡勢調査顛末</t>
    <phoneticPr fontId="1"/>
  </si>
  <si>
    <t>https://dl.ndl.go.jp/pid/805747/1/5</t>
    <phoneticPr fontId="1"/>
  </si>
  <si>
    <t>統計集誌 (389)</t>
    <phoneticPr fontId="1"/>
  </si>
  <si>
    <t>https://dl.ndl.go.jp/pid/1573257/1/30</t>
    <phoneticPr fontId="1"/>
  </si>
  <si>
    <t>大正元(相川)</t>
    <rPh sb="0" eb="2">
      <t>タイショウ</t>
    </rPh>
    <rPh sb="2" eb="3">
      <t>ガン</t>
    </rPh>
    <rPh sb="4" eb="6">
      <t>アイカ</t>
    </rPh>
    <phoneticPr fontId="1"/>
  </si>
  <si>
    <t>明治12-14</t>
    <rPh sb="0" eb="2">
      <t>メイジ</t>
    </rPh>
    <phoneticPr fontId="1"/>
  </si>
  <si>
    <t>統計集誌 (23)</t>
    <phoneticPr fontId="1"/>
  </si>
  <si>
    <t>https://dl.ndl.go.jp/pid/1572891/1/11</t>
    <phoneticPr fontId="1"/>
  </si>
  <si>
    <t>第八十七（特別報告第百三十7号）相川、両津間（佐渡鉄道）鉄道敷設の請願　（委員長報告）</t>
    <rPh sb="0" eb="1">
      <t>ダイ</t>
    </rPh>
    <rPh sb="1" eb="4">
      <t>87</t>
    </rPh>
    <rPh sb="5" eb="7">
      <t>トクベツ</t>
    </rPh>
    <rPh sb="7" eb="9">
      <t>ホウコク</t>
    </rPh>
    <rPh sb="9" eb="10">
      <t>ダイ</t>
    </rPh>
    <rPh sb="10" eb="12">
      <t>ヒャクサン</t>
    </rPh>
    <rPh sb="12" eb="13">
      <t>ト</t>
    </rPh>
    <rPh sb="14" eb="15">
      <t>ゴウ</t>
    </rPh>
    <rPh sb="16" eb="18">
      <t>アイカワ</t>
    </rPh>
    <rPh sb="19" eb="21">
      <t>リョウツ</t>
    </rPh>
    <rPh sb="21" eb="22">
      <t>カン</t>
    </rPh>
    <rPh sb="23" eb="27">
      <t>サドテツドウ</t>
    </rPh>
    <rPh sb="28" eb="32">
      <t>テツドウフセツ</t>
    </rPh>
    <rPh sb="33" eb="35">
      <t>セイガン</t>
    </rPh>
    <rPh sb="37" eb="42">
      <t>イインチョウホウコク</t>
    </rPh>
    <phoneticPr fontId="1"/>
  </si>
  <si>
    <t>院議ニ上ラス</t>
    <rPh sb="0" eb="2">
      <t>インギ</t>
    </rPh>
    <rPh sb="3" eb="4">
      <t>ノボ</t>
    </rPh>
    <phoneticPr fontId="1"/>
  </si>
  <si>
    <t>佐渡鉄道敷設に関する建議案
提出者　山本悌二郎君　高島順作君　丸山？？一郎君</t>
    <rPh sb="0" eb="4">
      <t>サドテツドウ</t>
    </rPh>
    <rPh sb="4" eb="6">
      <t>フセツ</t>
    </rPh>
    <rPh sb="7" eb="8">
      <t>カン</t>
    </rPh>
    <rPh sb="10" eb="13">
      <t>ケンギアン</t>
    </rPh>
    <rPh sb="14" eb="17">
      <t>テイシュツシャ</t>
    </rPh>
    <rPh sb="29" eb="30">
      <t>クン</t>
    </rPh>
    <rPh sb="37" eb="38">
      <t>クン</t>
    </rPh>
    <phoneticPr fontId="1"/>
  </si>
  <si>
    <t>議案提出　昨二十四日議員ヨリ左ノ議案ヲ提出セリ
佐渡鉄道建設ニ関スル建議案（山本悌二郎外二名）</t>
    <rPh sb="0" eb="4">
      <t>ギアンテイシュツ</t>
    </rPh>
    <rPh sb="5" eb="6">
      <t>サク</t>
    </rPh>
    <rPh sb="6" eb="10">
      <t>ニジュウヨッカ</t>
    </rPh>
    <rPh sb="10" eb="12">
      <t>ギイン</t>
    </rPh>
    <rPh sb="14" eb="15">
      <t>ヒダリ</t>
    </rPh>
    <rPh sb="16" eb="18">
      <t>ギアン</t>
    </rPh>
    <rPh sb="19" eb="21">
      <t>テイシュツ</t>
    </rPh>
    <rPh sb="24" eb="28">
      <t>サドテツドウ</t>
    </rPh>
    <rPh sb="28" eb="30">
      <t>ケンセツ</t>
    </rPh>
    <rPh sb="31" eb="32">
      <t>カン</t>
    </rPh>
    <rPh sb="34" eb="37">
      <t>ケンギアン</t>
    </rPh>
    <rPh sb="38" eb="40">
      <t>ヤマモト</t>
    </rPh>
    <rPh sb="40" eb="41">
      <t>テイ</t>
    </rPh>
    <rPh sb="41" eb="43">
      <t>ジロウ</t>
    </rPh>
    <rPh sb="43" eb="44">
      <t>ホカ</t>
    </rPh>
    <rPh sb="44" eb="46">
      <t>2メイ</t>
    </rPh>
    <phoneticPr fontId="1"/>
  </si>
  <si>
    <t>第八十七（特別報告第百三十7号）相川、両津間（佐渡鉄道）鉄道敷設の請願　（委員長報告）</t>
    <phoneticPr fontId="1"/>
  </si>
  <si>
    <t>（特別報告第百三十七号）相川、両津間（佐渡鉄道）鉄道敷設の請願</t>
    <rPh sb="1" eb="3">
      <t>トクベツ</t>
    </rPh>
    <rPh sb="3" eb="5">
      <t>ホウコク</t>
    </rPh>
    <rPh sb="5" eb="6">
      <t>ダイ</t>
    </rPh>
    <rPh sb="6" eb="11">
      <t>ヒャクサンジュウナナゴウ</t>
    </rPh>
    <rPh sb="12" eb="14">
      <t>アイカワ</t>
    </rPh>
    <rPh sb="15" eb="17">
      <t>リョウツ</t>
    </rPh>
    <rPh sb="17" eb="18">
      <t>カン</t>
    </rPh>
    <rPh sb="19" eb="21">
      <t>サド</t>
    </rPh>
    <rPh sb="21" eb="23">
      <t>テツドウ</t>
    </rPh>
    <rPh sb="24" eb="26">
      <t>テツドウ</t>
    </rPh>
    <rPh sb="26" eb="28">
      <t>フセツ</t>
    </rPh>
    <rPh sb="29" eb="31">
      <t>セイガン</t>
    </rPh>
    <phoneticPr fontId="1"/>
  </si>
  <si>
    <r>
      <t>件数：1，</t>
    </r>
    <r>
      <rPr>
        <sz val="11"/>
        <color rgb="FFFF0000"/>
        <rFont val="游ゴシック"/>
        <family val="3"/>
        <charset val="128"/>
        <scheme val="minor"/>
      </rPr>
      <t>署名者数：312</t>
    </r>
    <r>
      <rPr>
        <sz val="11"/>
        <color theme="1"/>
        <rFont val="游ゴシック"/>
        <family val="2"/>
        <charset val="128"/>
        <scheme val="minor"/>
      </rPr>
      <t>，委員会ニ於テ審査結了ニ至ラセリシモノ：1</t>
    </r>
    <rPh sb="0" eb="2">
      <t>ケンスウ</t>
    </rPh>
    <rPh sb="5" eb="8">
      <t>ショメイシャ</t>
    </rPh>
    <rPh sb="8" eb="9">
      <t>スウ</t>
    </rPh>
    <rPh sb="14" eb="17">
      <t>イインカイ</t>
    </rPh>
    <rPh sb="18" eb="19">
      <t>オ</t>
    </rPh>
    <rPh sb="20" eb="22">
      <t>シンサ</t>
    </rPh>
    <rPh sb="22" eb="24">
      <t>ケツリョウ</t>
    </rPh>
    <rPh sb="25" eb="26">
      <t>イタル</t>
    </rPh>
    <phoneticPr fontId="1"/>
  </si>
  <si>
    <r>
      <t>件数：1，</t>
    </r>
    <r>
      <rPr>
        <sz val="11"/>
        <color rgb="FFFF0000"/>
        <rFont val="游ゴシック"/>
        <family val="3"/>
        <charset val="128"/>
        <scheme val="minor"/>
      </rPr>
      <t>署名者数：422</t>
    </r>
    <r>
      <rPr>
        <sz val="11"/>
        <color theme="1"/>
        <rFont val="游ゴシック"/>
        <family val="2"/>
        <charset val="128"/>
        <scheme val="minor"/>
      </rPr>
      <t>，委員会ニ於テ審査結了ニ至ラセリシモノ：1</t>
    </r>
    <rPh sb="0" eb="2">
      <t>ケンスウ</t>
    </rPh>
    <rPh sb="5" eb="8">
      <t>ショメイシャ</t>
    </rPh>
    <rPh sb="8" eb="9">
      <t>スウ</t>
    </rPh>
    <rPh sb="14" eb="17">
      <t>イインカイ</t>
    </rPh>
    <rPh sb="18" eb="19">
      <t>オ</t>
    </rPh>
    <rPh sb="20" eb="22">
      <t>シンサ</t>
    </rPh>
    <rPh sb="22" eb="24">
      <t>ケツリョウ</t>
    </rPh>
    <rPh sb="25" eb="26">
      <t>イタル</t>
    </rPh>
    <phoneticPr fontId="1"/>
  </si>
  <si>
    <t>佐渡全域</t>
    <rPh sb="0" eb="2">
      <t>サド</t>
    </rPh>
    <rPh sb="2" eb="4">
      <t>ゼンイキ</t>
    </rPh>
    <phoneticPr fontId="1"/>
  </si>
  <si>
    <t>津名郡</t>
    <rPh sb="0" eb="3">
      <t>ツナグン</t>
    </rPh>
    <phoneticPr fontId="1"/>
  </si>
  <si>
    <t>三原郡</t>
    <rPh sb="0" eb="3">
      <t>ミハラグン</t>
    </rPh>
    <phoneticPr fontId="1"/>
  </si>
  <si>
    <t>淡路全域</t>
    <rPh sb="0" eb="2">
      <t>アワジ</t>
    </rPh>
    <rPh sb="2" eb="4">
      <t>ゼンイキ</t>
    </rPh>
    <phoneticPr fontId="1"/>
  </si>
  <si>
    <t>明治20-21</t>
    <rPh sb="0" eb="2">
      <t>メイジ</t>
    </rPh>
    <phoneticPr fontId="1"/>
  </si>
  <si>
    <t>https://d-infra.ier.hit-u.ac.jp/Japanese/govstat-database/statistical-yb/1890/tab_jpeg/1890_029.jpg</t>
    <phoneticPr fontId="1"/>
  </si>
  <si>
    <t>明治12-18</t>
    <rPh sb="0" eb="2">
      <t>メイジ</t>
    </rPh>
    <phoneticPr fontId="1"/>
  </si>
  <si>
    <t>淡路地域別</t>
    <rPh sb="0" eb="2">
      <t>アワジ</t>
    </rPh>
    <rPh sb="2" eb="5">
      <t>チイキベツ</t>
    </rPh>
    <phoneticPr fontId="1"/>
  </si>
  <si>
    <t>明治22-28</t>
    <rPh sb="0" eb="2">
      <t>メイジ</t>
    </rPh>
    <phoneticPr fontId="1"/>
  </si>
  <si>
    <t>日本帝国第十六統計年鑑</t>
    <phoneticPr fontId="1"/>
  </si>
  <si>
    <t>https://d-infra.ier.hit-u.ac.jp/Japanese/govstat-database/statistical-yb/1897/tab_jpeg/1897_032.jpg</t>
    <phoneticPr fontId="1"/>
  </si>
  <si>
    <t>明治29-31</t>
    <rPh sb="0" eb="2">
      <t>メイジ</t>
    </rPh>
    <phoneticPr fontId="1"/>
  </si>
  <si>
    <t>https://d-infra.ier.hit-u.ac.jp/Japanese/govstat-database/statistical-yb/1900/tab_jpeg/1900_034.jpg</t>
    <phoneticPr fontId="1"/>
  </si>
  <si>
    <t>日本帝国第十九統計年鑑</t>
    <phoneticPr fontId="1"/>
  </si>
  <si>
    <t>兵庫県統計書 明治18年</t>
    <phoneticPr fontId="1"/>
  </si>
  <si>
    <t>https://dl.ndl.go.jp/pid/807354/1/51</t>
    <phoneticPr fontId="1"/>
  </si>
  <si>
    <t>兵庫県統計書 明治35年</t>
    <phoneticPr fontId="1"/>
  </si>
  <si>
    <t>https://dl.ndl.go.jp/pid/807361/1/81</t>
    <phoneticPr fontId="1"/>
  </si>
  <si>
    <t>明治38-大正3</t>
    <rPh sb="0" eb="2">
      <t>メイジ</t>
    </rPh>
    <rPh sb="5" eb="7">
      <t>タイショウ</t>
    </rPh>
    <phoneticPr fontId="1"/>
  </si>
  <si>
    <t>兵庫県統計書 大正3年 第1編</t>
    <phoneticPr fontId="1"/>
  </si>
  <si>
    <t>https://dl.ndl.go.jp/pid/972543/1/81</t>
    <phoneticPr fontId="1"/>
  </si>
  <si>
    <t>津名郡+三原郡</t>
    <phoneticPr fontId="1"/>
  </si>
  <si>
    <t>兵庫県統計書 明治37年</t>
    <phoneticPr fontId="1"/>
  </si>
  <si>
    <t>https://dl.ndl.go.jp/pid/807363/1/93</t>
    <phoneticPr fontId="1"/>
  </si>
  <si>
    <t>兵庫県統計書 明治36年</t>
    <phoneticPr fontId="1"/>
  </si>
  <si>
    <t>https://dl.ndl.go.jp/pid/807362/1/89</t>
    <phoneticPr fontId="1"/>
  </si>
  <si>
    <t>兵庫県統計書 明治33年</t>
    <phoneticPr fontId="1"/>
  </si>
  <si>
    <t>https://dl.ndl.go.jp/pid/807359/1/65</t>
    <phoneticPr fontId="1"/>
  </si>
  <si>
    <t>兵庫県統計書 明治34年</t>
    <phoneticPr fontId="1"/>
  </si>
  <si>
    <t>https://dl.ndl.go.jp/pid/807360/1/70</t>
    <phoneticPr fontId="1"/>
  </si>
  <si>
    <t>兵庫県統計書 明治17年</t>
    <phoneticPr fontId="1"/>
  </si>
  <si>
    <t>https://dl.ndl.go.jp/pid/807353/1/52</t>
    <phoneticPr fontId="1"/>
  </si>
  <si>
    <t>明治20-24</t>
    <rPh sb="0" eb="2">
      <t>メイジ</t>
    </rPh>
    <phoneticPr fontId="1"/>
  </si>
  <si>
    <t>兵庫県統計書 明治24-25年</t>
    <phoneticPr fontId="1"/>
  </si>
  <si>
    <t>https://dl.ndl.go.jp/pid/807358/1/42</t>
    <phoneticPr fontId="1"/>
  </si>
  <si>
    <t>沖縄県</t>
    <rPh sb="0" eb="3">
      <t>オキナワケン</t>
    </rPh>
    <phoneticPr fontId="1"/>
  </si>
  <si>
    <t>沖縄県</t>
    <rPh sb="0" eb="2">
      <t>オキナワ</t>
    </rPh>
    <rPh sb="2" eb="3">
      <t>ケン</t>
    </rPh>
    <phoneticPr fontId="1"/>
  </si>
  <si>
    <t>明治34-36</t>
    <rPh sb="0" eb="2">
      <t>メイジ</t>
    </rPh>
    <phoneticPr fontId="1"/>
  </si>
  <si>
    <t>沖縄県統計書 明治３６年</t>
    <phoneticPr fontId="1"/>
  </si>
  <si>
    <t>https://dl.ndl.go.jp/pid/807864/1/146</t>
    <phoneticPr fontId="1"/>
  </si>
  <si>
    <t>沖縄県統計書 明治１６年</t>
    <phoneticPr fontId="1"/>
  </si>
  <si>
    <t>https://dl.ndl.go.jp/pid/807855/1/18</t>
    <phoneticPr fontId="1"/>
  </si>
  <si>
    <r>
      <t>一三七　相川、両津間（佐渡鉄道）鉄道敷設ノ請願　採択</t>
    </r>
    <r>
      <rPr>
        <sz val="11"/>
        <color theme="1"/>
        <rFont val="游ゴシック"/>
        <family val="2"/>
        <charset val="128"/>
      </rPr>
      <t>一</t>
    </r>
    <rPh sb="0" eb="3">
      <t>137</t>
    </rPh>
    <rPh sb="4" eb="6">
      <t>アイカワ</t>
    </rPh>
    <rPh sb="7" eb="10">
      <t>リョウツカン</t>
    </rPh>
    <rPh sb="11" eb="15">
      <t>サドテツドウ</t>
    </rPh>
    <rPh sb="16" eb="20">
      <t>テツドウフセツ</t>
    </rPh>
    <rPh sb="21" eb="23">
      <t>セイガン</t>
    </rPh>
    <rPh sb="24" eb="26">
      <t>サイタク</t>
    </rPh>
    <rPh sb="26" eb="27">
      <t>1</t>
    </rPh>
    <phoneticPr fontId="1"/>
  </si>
  <si>
    <t>帝国議会衆議院報告 第44回</t>
    <phoneticPr fontId="1"/>
  </si>
  <si>
    <t>帝国議会貴族院事務局報告 第45囘</t>
    <phoneticPr fontId="1"/>
  </si>
  <si>
    <t>官報 1921年03月23日</t>
    <phoneticPr fontId="1"/>
  </si>
  <si>
    <t>官報 1921年03月24日</t>
    <phoneticPr fontId="1"/>
  </si>
  <si>
    <t>沖縄県統計書 明治３７年</t>
    <phoneticPr fontId="1"/>
  </si>
  <si>
    <t>https://dl.ndl.go.jp/pid/807865/1/39</t>
    <phoneticPr fontId="1"/>
  </si>
  <si>
    <t>明治33-大正9</t>
    <rPh sb="0" eb="2">
      <t>メイジ</t>
    </rPh>
    <rPh sb="5" eb="7">
      <t>タイショウ</t>
    </rPh>
    <phoneticPr fontId="1"/>
  </si>
  <si>
    <t>https://dl.ndl.go.jp/pid/972833/1/28</t>
    <phoneticPr fontId="1"/>
  </si>
  <si>
    <t>沖縄県統計書 大正9年 第1編</t>
    <phoneticPr fontId="1"/>
  </si>
  <si>
    <t>沖縄県統計書 大正10年 第1編</t>
    <phoneticPr fontId="1"/>
  </si>
  <si>
    <t>https://dl.ndl.go.jp/pid/972835/1/33</t>
    <phoneticPr fontId="1"/>
  </si>
  <si>
    <t>https://dl.ndl.go.jp/pid/807858/1/32</t>
    <phoneticPr fontId="1"/>
  </si>
  <si>
    <t>明治21-25</t>
    <rPh sb="0" eb="2">
      <t>メイジ</t>
    </rPh>
    <phoneticPr fontId="1"/>
  </si>
  <si>
    <t>沖縄県統計書 明治２５年</t>
    <phoneticPr fontId="1"/>
  </si>
  <si>
    <t>馬車</t>
    <rPh sb="0" eb="2">
      <t>バシャ</t>
    </rPh>
    <phoneticPr fontId="1"/>
  </si>
  <si>
    <t>乗用</t>
    <rPh sb="0" eb="2">
      <t>ジョウヨウ</t>
    </rPh>
    <phoneticPr fontId="1"/>
  </si>
  <si>
    <t>二頭立</t>
    <rPh sb="0" eb="1">
      <t>ニ</t>
    </rPh>
    <rPh sb="1" eb="2">
      <t>トウ</t>
    </rPh>
    <rPh sb="2" eb="3">
      <t>タ</t>
    </rPh>
    <phoneticPr fontId="1"/>
  </si>
  <si>
    <t>一頭立</t>
    <rPh sb="0" eb="1">
      <t>イチ</t>
    </rPh>
    <rPh sb="1" eb="2">
      <t>トウ</t>
    </rPh>
    <rPh sb="2" eb="3">
      <t>タ</t>
    </rPh>
    <phoneticPr fontId="1"/>
  </si>
  <si>
    <t>荷積</t>
    <rPh sb="0" eb="2">
      <t>ニヅ</t>
    </rPh>
    <phoneticPr fontId="1"/>
  </si>
  <si>
    <t>人力車</t>
    <rPh sb="0" eb="3">
      <t>ジンリキシャ</t>
    </rPh>
    <phoneticPr fontId="1"/>
  </si>
  <si>
    <t>一人乗</t>
    <rPh sb="0" eb="2">
      <t>ヒトリ</t>
    </rPh>
    <rPh sb="2" eb="3">
      <t>ノ</t>
    </rPh>
    <phoneticPr fontId="1"/>
  </si>
  <si>
    <t>二人乗</t>
    <rPh sb="0" eb="3">
      <t>フタリノ</t>
    </rPh>
    <phoneticPr fontId="1"/>
  </si>
  <si>
    <t>荷車</t>
    <rPh sb="0" eb="2">
      <t>ニグルマ</t>
    </rPh>
    <phoneticPr fontId="1"/>
  </si>
  <si>
    <t>大車</t>
    <rPh sb="0" eb="2">
      <t>オオグルマ</t>
    </rPh>
    <phoneticPr fontId="1"/>
  </si>
  <si>
    <t>牛車</t>
    <rPh sb="0" eb="2">
      <t>ギュウシャ</t>
    </rPh>
    <phoneticPr fontId="1"/>
  </si>
  <si>
    <t>自動車</t>
    <rPh sb="0" eb="3">
      <t>ジドウシャ</t>
    </rPh>
    <phoneticPr fontId="1"/>
  </si>
  <si>
    <t>其ノ他</t>
    <rPh sb="0" eb="1">
      <t>ソ</t>
    </rPh>
    <rPh sb="2" eb="3">
      <t>タ</t>
    </rPh>
    <phoneticPr fontId="1"/>
  </si>
  <si>
    <t>計</t>
    <rPh sb="0" eb="1">
      <t>ケイ</t>
    </rPh>
    <phoneticPr fontId="1"/>
  </si>
  <si>
    <t>新潟県統計書 大正8年</t>
    <phoneticPr fontId="1"/>
  </si>
  <si>
    <t>https://dl.ndl.go.jp/pid/972466/1/371</t>
    <phoneticPr fontId="1"/>
  </si>
  <si>
    <t>-</t>
    <phoneticPr fontId="1"/>
  </si>
  <si>
    <t>自轉車</t>
    <rPh sb="0" eb="1">
      <t>ジ</t>
    </rPh>
    <rPh sb="1" eb="2">
      <t>コロブ</t>
    </rPh>
    <rPh sb="2" eb="3">
      <t>クルマ</t>
    </rPh>
    <phoneticPr fontId="1"/>
  </si>
  <si>
    <t>新潟県統計書 大正9年</t>
    <phoneticPr fontId="1"/>
  </si>
  <si>
    <t>https://dl.ndl.go.jp/pid/972467/1/321</t>
    <phoneticPr fontId="1"/>
  </si>
  <si>
    <t>新潟県統計書 明治43年 警察之部</t>
    <phoneticPr fontId="1"/>
  </si>
  <si>
    <t>https://dl.ndl.go.jp/pid/807008/1/180</t>
    <phoneticPr fontId="1"/>
  </si>
  <si>
    <t>小車・中小車</t>
    <rPh sb="0" eb="1">
      <t>ショウ</t>
    </rPh>
    <rPh sb="1" eb="2">
      <t>クルマ</t>
    </rPh>
    <rPh sb="3" eb="5">
      <t>チュウショウ</t>
    </rPh>
    <rPh sb="5" eb="6">
      <t>クルマ</t>
    </rPh>
    <phoneticPr fontId="1"/>
  </si>
  <si>
    <t>新潟県統計書 明治40年 教育,勧業,警察之部</t>
    <phoneticPr fontId="1"/>
  </si>
  <si>
    <t>https://dl.ndl.go.jp/pid/807003/1/203</t>
    <phoneticPr fontId="1"/>
  </si>
  <si>
    <t>新潟県統計書 明治41年 教育,雑之部</t>
    <phoneticPr fontId="1"/>
  </si>
  <si>
    <t>https://dl.ndl.go.jp/pid/807004/1/174</t>
    <phoneticPr fontId="1"/>
  </si>
  <si>
    <t>https://dl.ndl.go.jp/pid/972457/1/106</t>
    <phoneticPr fontId="1"/>
  </si>
  <si>
    <t>新潟県統計書 大正5年 勧業之部</t>
    <phoneticPr fontId="1"/>
  </si>
  <si>
    <t>https://dl.ndl.go.jp/pid/972460/1/229</t>
    <phoneticPr fontId="1"/>
  </si>
  <si>
    <t>大正5</t>
    <rPh sb="0" eb="2">
      <t>タイ</t>
    </rPh>
    <phoneticPr fontId="1"/>
  </si>
  <si>
    <t>新潟県統計書 大正6年 雑之部</t>
    <phoneticPr fontId="1"/>
  </si>
  <si>
    <t>大正7</t>
    <rPh sb="0" eb="2">
      <t>タイ</t>
    </rPh>
    <phoneticPr fontId="1"/>
  </si>
  <si>
    <t>https://dl.ndl.go.jp/pid/972464/1/61</t>
    <phoneticPr fontId="1"/>
  </si>
  <si>
    <t>新潟県統計書 大正7年</t>
    <phoneticPr fontId="1"/>
  </si>
  <si>
    <t>https://dl.ndl.go.jp/pid/972465/1/406</t>
    <phoneticPr fontId="1"/>
  </si>
  <si>
    <t>新潟県統計書 大正3年 勧業之部</t>
    <phoneticPr fontId="1"/>
  </si>
  <si>
    <t>大正3</t>
    <rPh sb="0" eb="2">
      <t>タイ</t>
    </rPh>
    <phoneticPr fontId="1"/>
  </si>
  <si>
    <t>https://dl.ndl.go.jp/pid/972452/1/297</t>
    <phoneticPr fontId="1"/>
  </si>
  <si>
    <t>新潟県統計書 大正2年 勧業之部</t>
    <phoneticPr fontId="1"/>
  </si>
  <si>
    <t>https://dl.ndl.go.jp/pid/972448/1/165</t>
    <phoneticPr fontId="1"/>
  </si>
  <si>
    <t>明治45：大正元</t>
    <phoneticPr fontId="1"/>
  </si>
  <si>
    <t>新潟県統計書 明治45年・大正元年 勧業之部</t>
    <phoneticPr fontId="1"/>
  </si>
  <si>
    <t>https://dl.ndl.go.jp/pid/972444/1/133</t>
    <phoneticPr fontId="1"/>
  </si>
  <si>
    <t>新潟県統計書 明治42年 警察之部</t>
    <phoneticPr fontId="1"/>
  </si>
  <si>
    <t>https://dl.ndl.go.jp/pid/807007/1/137</t>
    <phoneticPr fontId="1"/>
  </si>
  <si>
    <t>新潟県統計書 明治44年 雑之部</t>
    <phoneticPr fontId="1"/>
  </si>
  <si>
    <t>明治44</t>
    <phoneticPr fontId="1"/>
  </si>
  <si>
    <t>https://dl.ndl.go.jp/pid/972441/1/79</t>
    <phoneticPr fontId="1"/>
  </si>
  <si>
    <t>荷車合計</t>
    <rPh sb="0" eb="2">
      <t>ニグルマ</t>
    </rPh>
    <rPh sb="2" eb="4">
      <t>ゴウケイ</t>
    </rPh>
    <phoneticPr fontId="1"/>
  </si>
  <si>
    <t>鉄道敷設　署名者数</t>
    <rPh sb="0" eb="4">
      <t>テツドウフセツ</t>
    </rPh>
    <rPh sb="5" eb="8">
      <t>ショメイシャ</t>
    </rPh>
    <rPh sb="8" eb="9">
      <t>スウ</t>
    </rPh>
    <phoneticPr fontId="1"/>
  </si>
  <si>
    <t>濱頓別興部間</t>
    <rPh sb="0" eb="1">
      <t>ハマ</t>
    </rPh>
    <rPh sb="2" eb="3">
      <t>ベツ</t>
    </rPh>
    <rPh sb="3" eb="5">
      <t>オコッペ</t>
    </rPh>
    <rPh sb="5" eb="6">
      <t>カン</t>
    </rPh>
    <phoneticPr fontId="1"/>
  </si>
  <si>
    <t>敷設区間</t>
    <rPh sb="0" eb="2">
      <t>フセツ</t>
    </rPh>
    <rPh sb="2" eb="4">
      <t>クカン</t>
    </rPh>
    <phoneticPr fontId="1"/>
  </si>
  <si>
    <t>署名者数</t>
    <rPh sb="0" eb="3">
      <t>ショメイシャ</t>
    </rPh>
    <rPh sb="3" eb="4">
      <t>スウ</t>
    </rPh>
    <phoneticPr fontId="1"/>
  </si>
  <si>
    <t>美幌相生間並相生釧路間</t>
    <rPh sb="0" eb="1">
      <t>ウツク</t>
    </rPh>
    <rPh sb="2" eb="4">
      <t>アイオイ</t>
    </rPh>
    <rPh sb="4" eb="5">
      <t>カン</t>
    </rPh>
    <rPh sb="5" eb="6">
      <t>ナラ</t>
    </rPh>
    <rPh sb="6" eb="8">
      <t>アイオイ</t>
    </rPh>
    <rPh sb="8" eb="10">
      <t>クシロ</t>
    </rPh>
    <rPh sb="10" eb="11">
      <t>カン</t>
    </rPh>
    <phoneticPr fontId="1"/>
  </si>
  <si>
    <t>遠軽ルベシベ間軽便</t>
    <rPh sb="0" eb="1">
      <t>トオ</t>
    </rPh>
    <rPh sb="1" eb="2">
      <t>カル</t>
    </rPh>
    <rPh sb="6" eb="7">
      <t>カン</t>
    </rPh>
    <rPh sb="7" eb="9">
      <t>ケイビン</t>
    </rPh>
    <phoneticPr fontId="1"/>
  </si>
  <si>
    <t>美幌相生間軽便</t>
    <rPh sb="5" eb="7">
      <t>ケイビン</t>
    </rPh>
    <phoneticPr fontId="1"/>
  </si>
  <si>
    <t>網走下生田原間</t>
    <rPh sb="0" eb="2">
      <t>アバシリ</t>
    </rPh>
    <rPh sb="2" eb="3">
      <t>シタ</t>
    </rPh>
    <rPh sb="3" eb="4">
      <t>ナマ</t>
    </rPh>
    <rPh sb="4" eb="5">
      <t>タ</t>
    </rPh>
    <rPh sb="5" eb="6">
      <t>ハラ</t>
    </rPh>
    <rPh sb="6" eb="7">
      <t>カン</t>
    </rPh>
    <phoneticPr fontId="1"/>
  </si>
  <si>
    <t>厚床斜里間</t>
    <rPh sb="0" eb="2">
      <t>アットコ</t>
    </rPh>
    <rPh sb="2" eb="4">
      <t>シャリ</t>
    </rPh>
    <rPh sb="4" eb="5">
      <t>カン</t>
    </rPh>
    <phoneticPr fontId="1"/>
  </si>
  <si>
    <t>上士幌ヌカナン太間</t>
    <rPh sb="0" eb="1">
      <t>ウエ</t>
    </rPh>
    <rPh sb="7" eb="9">
      <t>タイマ</t>
    </rPh>
    <phoneticPr fontId="1"/>
  </si>
  <si>
    <t>美幌弟子屈間</t>
    <rPh sb="2" eb="4">
      <t>デシ</t>
    </rPh>
    <rPh sb="4" eb="5">
      <t>クツ</t>
    </rPh>
    <rPh sb="5" eb="6">
      <t>カン</t>
    </rPh>
    <phoneticPr fontId="1"/>
  </si>
  <si>
    <t>松前鉄道</t>
    <rPh sb="0" eb="2">
      <t>マツマエ</t>
    </rPh>
    <rPh sb="2" eb="4">
      <t>テツドウ</t>
    </rPh>
    <phoneticPr fontId="1"/>
  </si>
  <si>
    <t>八雲利別間</t>
    <rPh sb="0" eb="1">
      <t>ハチ</t>
    </rPh>
    <rPh sb="1" eb="2">
      <t>クモ</t>
    </rPh>
    <rPh sb="2" eb="3">
      <t>トシ</t>
    </rPh>
    <rPh sb="3" eb="5">
      <t>ベツマ</t>
    </rPh>
    <phoneticPr fontId="1"/>
  </si>
  <si>
    <t>興部小頓別間</t>
    <rPh sb="0" eb="2">
      <t>オコッペ</t>
    </rPh>
    <rPh sb="2" eb="3">
      <t>ショウ</t>
    </rPh>
    <rPh sb="4" eb="5">
      <t>ベツ</t>
    </rPh>
    <rPh sb="5" eb="6">
      <t>アイダ</t>
    </rPh>
    <phoneticPr fontId="1"/>
  </si>
  <si>
    <t>中湧別網走間</t>
    <rPh sb="0" eb="1">
      <t>ナカ</t>
    </rPh>
    <rPh sb="1" eb="2">
      <t>ワ</t>
    </rPh>
    <rPh sb="2" eb="3">
      <t>ベツ</t>
    </rPh>
    <rPh sb="3" eb="5">
      <t>アバシリ</t>
    </rPh>
    <rPh sb="5" eb="6">
      <t>カン</t>
    </rPh>
    <phoneticPr fontId="1"/>
  </si>
  <si>
    <t>北海道枝幸郡枝幸ヨリ宗谷線鉄道に連絡スヘキ鉄道</t>
    <rPh sb="0" eb="3">
      <t>ホッカイドウ</t>
    </rPh>
    <rPh sb="3" eb="4">
      <t>エダ</t>
    </rPh>
    <rPh sb="4" eb="5">
      <t>シアワ</t>
    </rPh>
    <rPh sb="5" eb="6">
      <t>グン</t>
    </rPh>
    <rPh sb="6" eb="7">
      <t>エダ</t>
    </rPh>
    <rPh sb="10" eb="13">
      <t>ソウヤセン</t>
    </rPh>
    <rPh sb="13" eb="15">
      <t>テツドウ</t>
    </rPh>
    <rPh sb="16" eb="18">
      <t>レンラク</t>
    </rPh>
    <rPh sb="21" eb="23">
      <t>テツドウ</t>
    </rPh>
    <phoneticPr fontId="1"/>
  </si>
  <si>
    <t>釧路相生間</t>
    <rPh sb="0" eb="2">
      <t>クシロ</t>
    </rPh>
    <rPh sb="2" eb="4">
      <t>アイオイ</t>
    </rPh>
    <rPh sb="4" eb="5">
      <t>カン</t>
    </rPh>
    <phoneticPr fontId="1"/>
  </si>
  <si>
    <t>帯廣苫小牧間</t>
    <rPh sb="0" eb="1">
      <t>オビ</t>
    </rPh>
    <rPh sb="1" eb="2">
      <t>ヒロシ</t>
    </rPh>
    <rPh sb="2" eb="5">
      <t>トマコマイ</t>
    </rPh>
    <rPh sb="5" eb="6">
      <t>カン</t>
    </rPh>
    <phoneticPr fontId="1"/>
  </si>
  <si>
    <t>大田瀧原間</t>
    <rPh sb="0" eb="2">
      <t>オオタ</t>
    </rPh>
    <rPh sb="2" eb="3">
      <t>タキ</t>
    </rPh>
    <rPh sb="3" eb="4">
      <t>ハラ</t>
    </rPh>
    <rPh sb="4" eb="5">
      <t>カン</t>
    </rPh>
    <phoneticPr fontId="1"/>
  </si>
  <si>
    <t>谷川姫路間</t>
    <rPh sb="0" eb="2">
      <t>タニガワ</t>
    </rPh>
    <rPh sb="2" eb="4">
      <t>ヒメジ</t>
    </rPh>
    <rPh sb="4" eb="5">
      <t>カン</t>
    </rPh>
    <phoneticPr fontId="1"/>
  </si>
  <si>
    <t>谷川福崎間</t>
    <rPh sb="0" eb="2">
      <t>タニガワ</t>
    </rPh>
    <rPh sb="2" eb="4">
      <t>フクサキ</t>
    </rPh>
    <rPh sb="4" eb="5">
      <t>カン</t>
    </rPh>
    <phoneticPr fontId="1"/>
  </si>
  <si>
    <t>若櫻ヨリ村岡ヲ経テ江原ニ至ル鉄道</t>
    <rPh sb="0" eb="2">
      <t>ワカザクラ</t>
    </rPh>
    <rPh sb="4" eb="6">
      <t>ムラオカ</t>
    </rPh>
    <rPh sb="7" eb="8">
      <t>ヘ</t>
    </rPh>
    <rPh sb="9" eb="10">
      <t>コウ</t>
    </rPh>
    <rPh sb="10" eb="11">
      <t>ハラ</t>
    </rPh>
    <rPh sb="12" eb="13">
      <t>イタ</t>
    </rPh>
    <rPh sb="14" eb="16">
      <t>テツドウ</t>
    </rPh>
    <phoneticPr fontId="1"/>
  </si>
  <si>
    <t>淡路縦貫鉄道</t>
    <rPh sb="0" eb="2">
      <t>アワジ</t>
    </rPh>
    <rPh sb="2" eb="4">
      <t>ジュウカン</t>
    </rPh>
    <rPh sb="4" eb="6">
      <t>テツドウ</t>
    </rPh>
    <phoneticPr fontId="1"/>
  </si>
  <si>
    <t>山田豊岡間</t>
    <rPh sb="0" eb="2">
      <t>ヤマダ</t>
    </rPh>
    <rPh sb="2" eb="4">
      <t>トヨオカ</t>
    </rPh>
    <rPh sb="4" eb="5">
      <t>カン</t>
    </rPh>
    <phoneticPr fontId="1"/>
  </si>
  <si>
    <t>小出柳津間</t>
    <rPh sb="0" eb="1">
      <t>ショウ</t>
    </rPh>
    <rPh sb="1" eb="2">
      <t>デ</t>
    </rPh>
    <rPh sb="2" eb="4">
      <t>ヤナギツ</t>
    </rPh>
    <rPh sb="4" eb="5">
      <t>カン</t>
    </rPh>
    <phoneticPr fontId="1"/>
  </si>
  <si>
    <t>直江津川口間</t>
    <rPh sb="0" eb="1">
      <t>チョク</t>
    </rPh>
    <rPh sb="1" eb="2">
      <t>コウ</t>
    </rPh>
    <rPh sb="2" eb="4">
      <t>ツガワ</t>
    </rPh>
    <rPh sb="4" eb="5">
      <t>クチ</t>
    </rPh>
    <rPh sb="5" eb="6">
      <t>カン</t>
    </rPh>
    <phoneticPr fontId="1"/>
  </si>
  <si>
    <t>佐渡鉄道</t>
    <rPh sb="0" eb="2">
      <t>サド</t>
    </rPh>
    <rPh sb="2" eb="4">
      <t>テツドウ</t>
    </rPh>
    <phoneticPr fontId="1"/>
  </si>
  <si>
    <t>八王子高崎間</t>
    <rPh sb="0" eb="3">
      <t>ハチオウジ</t>
    </rPh>
    <rPh sb="3" eb="5">
      <t>タカサキ</t>
    </rPh>
    <rPh sb="5" eb="6">
      <t>カン</t>
    </rPh>
    <phoneticPr fontId="1"/>
  </si>
  <si>
    <t>堺飯野間</t>
    <rPh sb="0" eb="1">
      <t>サカイ</t>
    </rPh>
    <rPh sb="1" eb="2">
      <t>メシ</t>
    </rPh>
    <rPh sb="3" eb="4">
      <t>カン</t>
    </rPh>
    <phoneticPr fontId="1"/>
  </si>
  <si>
    <t>群馬県下渋皮ヨリ同県下中之條ヲ経テ長野県ニ通スル鉄道</t>
    <phoneticPr fontId="1"/>
  </si>
  <si>
    <t>佐原旭町間</t>
    <rPh sb="0" eb="2">
      <t>サハラ</t>
    </rPh>
    <rPh sb="2" eb="4">
      <t>アサヒマチ</t>
    </rPh>
    <rPh sb="4" eb="5">
      <t>カン</t>
    </rPh>
    <phoneticPr fontId="1"/>
  </si>
  <si>
    <t>土浦飯能間水海道佐貫間並堺古河間</t>
    <rPh sb="0" eb="2">
      <t>ツチウラ</t>
    </rPh>
    <rPh sb="2" eb="3">
      <t>メシ</t>
    </rPh>
    <rPh sb="3" eb="4">
      <t>ノウ</t>
    </rPh>
    <rPh sb="4" eb="5">
      <t>カン</t>
    </rPh>
    <rPh sb="5" eb="6">
      <t>スイ</t>
    </rPh>
    <rPh sb="6" eb="7">
      <t>カイ</t>
    </rPh>
    <rPh sb="7" eb="8">
      <t>ミチ</t>
    </rPh>
    <rPh sb="8" eb="10">
      <t>サヌキ</t>
    </rPh>
    <rPh sb="10" eb="11">
      <t>カン</t>
    </rPh>
    <rPh sb="11" eb="12">
      <t>ナミ</t>
    </rPh>
    <rPh sb="12" eb="13">
      <t>サカイ</t>
    </rPh>
    <rPh sb="13" eb="15">
      <t>フルカワ</t>
    </rPh>
    <rPh sb="15" eb="16">
      <t>カン</t>
    </rPh>
    <phoneticPr fontId="1"/>
  </si>
  <si>
    <t>市橋賓積寺間</t>
    <rPh sb="0" eb="1">
      <t>シ</t>
    </rPh>
    <rPh sb="1" eb="2">
      <t>ハシ</t>
    </rPh>
    <rPh sb="2" eb="3">
      <t>ヒン</t>
    </rPh>
    <rPh sb="3" eb="4">
      <t>セキ</t>
    </rPh>
    <rPh sb="4" eb="5">
      <t>デラ</t>
    </rPh>
    <rPh sb="5" eb="6">
      <t>アイダ</t>
    </rPh>
    <phoneticPr fontId="1"/>
  </si>
  <si>
    <t>今市田島間</t>
    <rPh sb="0" eb="1">
      <t>イマ</t>
    </rPh>
    <rPh sb="1" eb="2">
      <t>シ</t>
    </rPh>
    <rPh sb="2" eb="3">
      <t>タ</t>
    </rPh>
    <rPh sb="3" eb="4">
      <t>シマ</t>
    </rPh>
    <rPh sb="4" eb="5">
      <t>カン</t>
    </rPh>
    <phoneticPr fontId="1"/>
  </si>
  <si>
    <t>五條新宮間</t>
    <rPh sb="0" eb="2">
      <t>ゴジョウ</t>
    </rPh>
    <rPh sb="2" eb="4">
      <t>シンミヤ</t>
    </rPh>
    <rPh sb="4" eb="5">
      <t>カン</t>
    </rPh>
    <phoneticPr fontId="1"/>
  </si>
  <si>
    <t>吉野縦貫鉄道</t>
    <rPh sb="0" eb="2">
      <t>ヨシノ</t>
    </rPh>
    <rPh sb="2" eb="4">
      <t>ジュウカン</t>
    </rPh>
    <rPh sb="4" eb="6">
      <t>テツドウ</t>
    </rPh>
    <phoneticPr fontId="1"/>
  </si>
  <si>
    <t>五條新宮間</t>
    <rPh sb="4" eb="5">
      <t>カン</t>
    </rPh>
    <phoneticPr fontId="1"/>
  </si>
  <si>
    <t>松阪櫻井間</t>
    <rPh sb="0" eb="2">
      <t>マツザカ</t>
    </rPh>
    <rPh sb="2" eb="4">
      <t>サクライ</t>
    </rPh>
    <rPh sb="4" eb="5">
      <t>カン</t>
    </rPh>
    <phoneticPr fontId="1"/>
  </si>
  <si>
    <t>四日市木之本間</t>
    <rPh sb="0" eb="3">
      <t>ヨッカイチ</t>
    </rPh>
    <rPh sb="3" eb="4">
      <t>キ</t>
    </rPh>
    <rPh sb="4" eb="5">
      <t>ノ</t>
    </rPh>
    <rPh sb="5" eb="6">
      <t>モト</t>
    </rPh>
    <rPh sb="6" eb="7">
      <t>カン</t>
    </rPh>
    <phoneticPr fontId="1"/>
  </si>
  <si>
    <t>掛川大井間人野長篠間並浦川佐久間間</t>
    <rPh sb="0" eb="2">
      <t>カケガワ</t>
    </rPh>
    <rPh sb="2" eb="4">
      <t>オオイ</t>
    </rPh>
    <rPh sb="4" eb="5">
      <t>カン</t>
    </rPh>
    <rPh sb="5" eb="6">
      <t>ヒト</t>
    </rPh>
    <rPh sb="6" eb="7">
      <t>ノ</t>
    </rPh>
    <rPh sb="7" eb="8">
      <t>チョウ</t>
    </rPh>
    <rPh sb="9" eb="10">
      <t>カン</t>
    </rPh>
    <rPh sb="10" eb="11">
      <t>ナミ</t>
    </rPh>
    <rPh sb="11" eb="13">
      <t>ウラカワ</t>
    </rPh>
    <rPh sb="13" eb="16">
      <t>サクマ</t>
    </rPh>
    <rPh sb="16" eb="17">
      <t>カン</t>
    </rPh>
    <phoneticPr fontId="1"/>
  </si>
  <si>
    <t>濱松辰野間</t>
    <rPh sb="0" eb="2">
      <t>ハママツ</t>
    </rPh>
    <rPh sb="3" eb="4">
      <t>ノ</t>
    </rPh>
    <rPh sb="4" eb="5">
      <t>カン</t>
    </rPh>
    <phoneticPr fontId="1"/>
  </si>
  <si>
    <t>掛川大井間</t>
    <rPh sb="0" eb="2">
      <t>カケガワ</t>
    </rPh>
    <rPh sb="2" eb="4">
      <t>オオイ</t>
    </rPh>
    <rPh sb="4" eb="5">
      <t>カン</t>
    </rPh>
    <phoneticPr fontId="1"/>
  </si>
  <si>
    <t>御殿場大宮間並吉田大月間</t>
    <rPh sb="0" eb="3">
      <t>ゴテンバ</t>
    </rPh>
    <rPh sb="3" eb="5">
      <t>オオミヤ</t>
    </rPh>
    <rPh sb="5" eb="6">
      <t>カン</t>
    </rPh>
    <rPh sb="6" eb="7">
      <t>ナラ</t>
    </rPh>
    <rPh sb="7" eb="9">
      <t>ヨシダ</t>
    </rPh>
    <rPh sb="9" eb="11">
      <t>オオツキ</t>
    </rPh>
    <rPh sb="11" eb="12">
      <t>カン</t>
    </rPh>
    <phoneticPr fontId="1"/>
  </si>
  <si>
    <t>p362</t>
    <phoneticPr fontId="1"/>
  </si>
  <si>
    <t>飯山高田</t>
    <rPh sb="0" eb="2">
      <t>イイヤマ</t>
    </rPh>
    <rPh sb="2" eb="4">
      <t>タカダ</t>
    </rPh>
    <phoneticPr fontId="1"/>
  </si>
  <si>
    <t>柳津小出間並只見小町間</t>
    <rPh sb="0" eb="1">
      <t>ヤナギ</t>
    </rPh>
    <rPh sb="1" eb="2">
      <t>ツ</t>
    </rPh>
    <rPh sb="2" eb="4">
      <t>コイデ</t>
    </rPh>
    <rPh sb="4" eb="5">
      <t>カン</t>
    </rPh>
    <rPh sb="5" eb="6">
      <t>ナラ</t>
    </rPh>
    <rPh sb="6" eb="8">
      <t>タダミ</t>
    </rPh>
    <rPh sb="8" eb="10">
      <t>コマチ</t>
    </rPh>
    <rPh sb="10" eb="11">
      <t>カン</t>
    </rPh>
    <phoneticPr fontId="1"/>
  </si>
  <si>
    <t>須賀川長沼間並石川植田間</t>
    <rPh sb="0" eb="3">
      <t>スガガワ</t>
    </rPh>
    <rPh sb="3" eb="5">
      <t>ナガヌマ</t>
    </rPh>
    <rPh sb="5" eb="6">
      <t>カン</t>
    </rPh>
    <rPh sb="6" eb="7">
      <t>ナラ</t>
    </rPh>
    <rPh sb="7" eb="9">
      <t>イシカワ</t>
    </rPh>
    <rPh sb="9" eb="11">
      <t>ウエダ</t>
    </rPh>
    <rPh sb="11" eb="12">
      <t>カン</t>
    </rPh>
    <phoneticPr fontId="1"/>
  </si>
  <si>
    <t>野岩羽鉄道</t>
    <rPh sb="0" eb="1">
      <t>ノ</t>
    </rPh>
    <rPh sb="1" eb="2">
      <t>イワ</t>
    </rPh>
    <rPh sb="2" eb="3">
      <t>ハネ</t>
    </rPh>
    <rPh sb="3" eb="5">
      <t>テツドウ</t>
    </rPh>
    <phoneticPr fontId="1"/>
  </si>
  <si>
    <t>川尻雫石間</t>
    <rPh sb="0" eb="2">
      <t>カワジリ</t>
    </rPh>
    <rPh sb="2" eb="3">
      <t>シズク</t>
    </rPh>
    <rPh sb="3" eb="4">
      <t>イシ</t>
    </rPh>
    <rPh sb="4" eb="5">
      <t>カン</t>
    </rPh>
    <phoneticPr fontId="1"/>
  </si>
  <si>
    <t>遠野川井間</t>
    <rPh sb="0" eb="2">
      <t>トオノ</t>
    </rPh>
    <rPh sb="2" eb="4">
      <t>カワイ</t>
    </rPh>
    <rPh sb="4" eb="5">
      <t>カン</t>
    </rPh>
    <phoneticPr fontId="1"/>
  </si>
  <si>
    <t>高田遠野間</t>
    <rPh sb="0" eb="2">
      <t>タカダ</t>
    </rPh>
    <rPh sb="2" eb="4">
      <t>トオノ</t>
    </rPh>
    <rPh sb="4" eb="5">
      <t>カン</t>
    </rPh>
    <phoneticPr fontId="1"/>
  </si>
  <si>
    <t>船川能代間</t>
    <rPh sb="0" eb="1">
      <t>フネ</t>
    </rPh>
    <rPh sb="1" eb="2">
      <t>カワ</t>
    </rPh>
    <rPh sb="2" eb="3">
      <t>ノウ</t>
    </rPh>
    <rPh sb="3" eb="4">
      <t>カ</t>
    </rPh>
    <rPh sb="4" eb="5">
      <t>カン</t>
    </rPh>
    <phoneticPr fontId="1"/>
  </si>
  <si>
    <t>三戸毛馬内間</t>
    <rPh sb="0" eb="1">
      <t>サン</t>
    </rPh>
    <rPh sb="1" eb="2">
      <t>コ</t>
    </rPh>
    <rPh sb="2" eb="3">
      <t>ケ</t>
    </rPh>
    <rPh sb="3" eb="4">
      <t>ウマ</t>
    </rPh>
    <rPh sb="4" eb="5">
      <t>ウチ</t>
    </rPh>
    <rPh sb="5" eb="6">
      <t>アイダ</t>
    </rPh>
    <phoneticPr fontId="1"/>
  </si>
  <si>
    <t>上磯鉄道</t>
    <rPh sb="0" eb="2">
      <t>カミイソ</t>
    </rPh>
    <rPh sb="2" eb="4">
      <t>テツドウ</t>
    </rPh>
    <phoneticPr fontId="1"/>
  </si>
  <si>
    <t>尻内毛馬内間</t>
    <rPh sb="0" eb="2">
      <t>シリウチ</t>
    </rPh>
    <rPh sb="2" eb="3">
      <t>モウ</t>
    </rPh>
    <rPh sb="3" eb="4">
      <t>バ</t>
    </rPh>
    <rPh sb="4" eb="5">
      <t>ウチ</t>
    </rPh>
    <rPh sb="5" eb="6">
      <t>カン</t>
    </rPh>
    <phoneticPr fontId="1"/>
  </si>
  <si>
    <t>田部部大間間</t>
    <rPh sb="0" eb="2">
      <t>タナベ</t>
    </rPh>
    <rPh sb="2" eb="3">
      <t>ブ</t>
    </rPh>
    <rPh sb="3" eb="4">
      <t>ダイ</t>
    </rPh>
    <rPh sb="4" eb="5">
      <t>アイダ</t>
    </rPh>
    <rPh sb="5" eb="6">
      <t>アイダ</t>
    </rPh>
    <phoneticPr fontId="1"/>
  </si>
  <si>
    <t>五所川原小泊間</t>
    <rPh sb="0" eb="2">
      <t>ゴショ</t>
    </rPh>
    <rPh sb="2" eb="4">
      <t>カワラ</t>
    </rPh>
    <rPh sb="4" eb="5">
      <t>ショウ</t>
    </rPh>
    <rPh sb="5" eb="6">
      <t>ハク</t>
    </rPh>
    <rPh sb="6" eb="7">
      <t>カン</t>
    </rPh>
    <phoneticPr fontId="1"/>
  </si>
  <si>
    <t>https://dl.ndl.go.jp/pid/1682602</t>
    <phoneticPr fontId="1"/>
  </si>
  <si>
    <t>1922年(帝国議会貴族院事務局報告 第44囘)</t>
    <rPh sb="4" eb="5">
      <t>ネン</t>
    </rPh>
    <phoneticPr fontId="1"/>
  </si>
  <si>
    <t>喜多方米澤間</t>
    <rPh sb="0" eb="1">
      <t>ヨロコ</t>
    </rPh>
    <rPh sb="1" eb="2">
      <t>オオ</t>
    </rPh>
    <rPh sb="2" eb="3">
      <t>カタ</t>
    </rPh>
    <rPh sb="3" eb="5">
      <t>ヨネザワ</t>
    </rPh>
    <rPh sb="5" eb="6">
      <t>カン</t>
    </rPh>
    <phoneticPr fontId="1"/>
  </si>
  <si>
    <r>
      <t>三戸千</t>
    </r>
    <r>
      <rPr>
        <sz val="11"/>
        <color theme="1"/>
        <rFont val="游ゴシック"/>
        <family val="2"/>
        <charset val="128"/>
      </rPr>
      <t>曳</t>
    </r>
    <r>
      <rPr>
        <sz val="11"/>
        <color theme="1"/>
        <rFont val="游ゴシック"/>
        <family val="2"/>
        <charset val="128"/>
        <scheme val="minor"/>
      </rPr>
      <t>間</t>
    </r>
    <rPh sb="0" eb="1">
      <t>サン</t>
    </rPh>
    <rPh sb="1" eb="2">
      <t>コ</t>
    </rPh>
    <rPh sb="2" eb="3">
      <t>セン</t>
    </rPh>
    <rPh sb="3" eb="4">
      <t>ヒ</t>
    </rPh>
    <rPh sb="4" eb="5">
      <t>アイダ</t>
    </rPh>
    <phoneticPr fontId="1"/>
  </si>
  <si>
    <t>三戸花輪間</t>
    <rPh sb="0" eb="1">
      <t>サン</t>
    </rPh>
    <rPh sb="1" eb="2">
      <t>コ</t>
    </rPh>
    <rPh sb="4" eb="5">
      <t>アイダ</t>
    </rPh>
    <phoneticPr fontId="1"/>
  </si>
  <si>
    <t>越前田代間軽便</t>
    <rPh sb="0" eb="2">
      <t>エチゼン</t>
    </rPh>
    <rPh sb="2" eb="4">
      <t>タシロ</t>
    </rPh>
    <rPh sb="4" eb="5">
      <t>カン</t>
    </rPh>
    <rPh sb="5" eb="7">
      <t>ケイビン</t>
    </rPh>
    <phoneticPr fontId="1"/>
  </si>
  <si>
    <t>富山新潟間</t>
    <rPh sb="0" eb="2">
      <t>トヤマ</t>
    </rPh>
    <rPh sb="2" eb="4">
      <t>ニイガタ</t>
    </rPh>
    <rPh sb="4" eb="5">
      <t>カン</t>
    </rPh>
    <phoneticPr fontId="1"/>
  </si>
  <si>
    <t>八尾金澤間</t>
    <rPh sb="0" eb="2">
      <t>ハチオ</t>
    </rPh>
    <rPh sb="2" eb="4">
      <t>カナザワ</t>
    </rPh>
    <rPh sb="4" eb="5">
      <t>カン</t>
    </rPh>
    <phoneticPr fontId="1"/>
  </si>
  <si>
    <t>廣濱鉄道</t>
    <rPh sb="0" eb="1">
      <t>ヒロシ</t>
    </rPh>
    <rPh sb="1" eb="2">
      <t>ハマ</t>
    </rPh>
    <rPh sb="2" eb="4">
      <t>テツドウ</t>
    </rPh>
    <phoneticPr fontId="1"/>
  </si>
  <si>
    <t>木地三次間</t>
    <rPh sb="0" eb="2">
      <t>キジ</t>
    </rPh>
    <rPh sb="2" eb="3">
      <t>サン</t>
    </rPh>
    <rPh sb="3" eb="4">
      <t>ジ</t>
    </rPh>
    <rPh sb="4" eb="5">
      <t>カン</t>
    </rPh>
    <phoneticPr fontId="1"/>
  </si>
  <si>
    <t>日原岩国間</t>
    <rPh sb="0" eb="1">
      <t>ニチ</t>
    </rPh>
    <rPh sb="1" eb="2">
      <t>ハラ</t>
    </rPh>
    <rPh sb="2" eb="4">
      <t>イワクニ</t>
    </rPh>
    <rPh sb="4" eb="5">
      <t>カン</t>
    </rPh>
    <phoneticPr fontId="1"/>
  </si>
  <si>
    <t>今市三次間</t>
    <rPh sb="0" eb="2">
      <t>イマイチ</t>
    </rPh>
    <rPh sb="2" eb="3">
      <t>サン</t>
    </rPh>
    <rPh sb="3" eb="4">
      <t>ジ</t>
    </rPh>
    <rPh sb="4" eb="5">
      <t>カン</t>
    </rPh>
    <phoneticPr fontId="1"/>
  </si>
  <si>
    <t>福山東城間</t>
    <rPh sb="0" eb="2">
      <t>フクヤマ</t>
    </rPh>
    <rPh sb="2" eb="4">
      <t>トウジョウ</t>
    </rPh>
    <rPh sb="4" eb="5">
      <t>カン</t>
    </rPh>
    <phoneticPr fontId="1"/>
  </si>
  <si>
    <t>三原呉間</t>
    <rPh sb="0" eb="2">
      <t>ミハラ</t>
    </rPh>
    <rPh sb="2" eb="3">
      <t>クレ</t>
    </rPh>
    <rPh sb="3" eb="4">
      <t>カン</t>
    </rPh>
    <phoneticPr fontId="1"/>
  </si>
  <si>
    <t>大牟田三池間</t>
    <rPh sb="0" eb="3">
      <t>オオムタ</t>
    </rPh>
    <rPh sb="2" eb="3">
      <t>タ</t>
    </rPh>
    <rPh sb="3" eb="4">
      <t>サン</t>
    </rPh>
    <rPh sb="4" eb="5">
      <t>イケ</t>
    </rPh>
    <rPh sb="5" eb="6">
      <t>カン</t>
    </rPh>
    <phoneticPr fontId="1"/>
  </si>
  <si>
    <t>萩小郡間</t>
    <rPh sb="0" eb="1">
      <t>ハギ</t>
    </rPh>
    <rPh sb="1" eb="2">
      <t>ショウ</t>
    </rPh>
    <rPh sb="2" eb="3">
      <t>グン</t>
    </rPh>
    <rPh sb="3" eb="4">
      <t>カン</t>
    </rPh>
    <phoneticPr fontId="1"/>
  </si>
  <si>
    <t>大田於福間</t>
    <rPh sb="0" eb="2">
      <t>オオタ</t>
    </rPh>
    <rPh sb="2" eb="3">
      <t>オ</t>
    </rPh>
    <rPh sb="3" eb="4">
      <t>フク</t>
    </rPh>
    <rPh sb="4" eb="5">
      <t>カン</t>
    </rPh>
    <phoneticPr fontId="1"/>
  </si>
  <si>
    <t>徳佐大井間</t>
    <rPh sb="0" eb="2">
      <t>トクサ</t>
    </rPh>
    <rPh sb="2" eb="4">
      <t>オオイ</t>
    </rPh>
    <rPh sb="4" eb="5">
      <t>カン</t>
    </rPh>
    <phoneticPr fontId="1"/>
  </si>
  <si>
    <t>岩國日原間</t>
    <rPh sb="0" eb="2">
      <t>イワクニ</t>
    </rPh>
    <rPh sb="2" eb="4">
      <t>ニチハラ</t>
    </rPh>
    <rPh sb="4" eb="5">
      <t>カン</t>
    </rPh>
    <phoneticPr fontId="1"/>
  </si>
  <si>
    <t>小松島後免間</t>
    <rPh sb="0" eb="3">
      <t>コマツシマ</t>
    </rPh>
    <rPh sb="3" eb="4">
      <t>アト</t>
    </rPh>
    <rPh sb="4" eb="5">
      <t>メン</t>
    </rPh>
    <rPh sb="5" eb="6">
      <t>カン</t>
    </rPh>
    <phoneticPr fontId="1"/>
  </si>
  <si>
    <t>松山大洲間</t>
    <rPh sb="0" eb="2">
      <t>マツヤマ</t>
    </rPh>
    <rPh sb="2" eb="4">
      <t>オオス</t>
    </rPh>
    <rPh sb="4" eb="5">
      <t>カン</t>
    </rPh>
    <phoneticPr fontId="1"/>
  </si>
  <si>
    <t>堀江松山間</t>
    <rPh sb="0" eb="2">
      <t>ホリエ</t>
    </rPh>
    <rPh sb="2" eb="4">
      <t>マツヤマ</t>
    </rPh>
    <rPh sb="4" eb="5">
      <t>カン</t>
    </rPh>
    <phoneticPr fontId="1"/>
  </si>
  <si>
    <t>川内宇佐間</t>
    <rPh sb="0" eb="2">
      <t>カワウチ</t>
    </rPh>
    <rPh sb="2" eb="4">
      <t>ウサ</t>
    </rPh>
    <rPh sb="4" eb="5">
      <t>カン</t>
    </rPh>
    <phoneticPr fontId="1"/>
  </si>
  <si>
    <t>宮崎福島間</t>
    <rPh sb="0" eb="2">
      <t>ミヤザキ</t>
    </rPh>
    <rPh sb="2" eb="4">
      <t>フクシマ</t>
    </rPh>
    <rPh sb="4" eb="5">
      <t>カン</t>
    </rPh>
    <phoneticPr fontId="1"/>
  </si>
  <si>
    <t>國分岩川間</t>
    <rPh sb="0" eb="2">
      <t>コクブン</t>
    </rPh>
    <rPh sb="2" eb="4">
      <t>イワカワ</t>
    </rPh>
    <rPh sb="4" eb="5">
      <t>カン</t>
    </rPh>
    <phoneticPr fontId="1"/>
  </si>
  <si>
    <t>鹿児島枕崎間</t>
    <rPh sb="0" eb="3">
      <t>カゴシマ</t>
    </rPh>
    <rPh sb="3" eb="4">
      <t>マクラ</t>
    </rPh>
    <rPh sb="4" eb="5">
      <t>サキ</t>
    </rPh>
    <rPh sb="5" eb="6">
      <t>カン</t>
    </rPh>
    <phoneticPr fontId="1"/>
  </si>
  <si>
    <t>鹿児島</t>
    <rPh sb="0" eb="3">
      <t>カゴシマ</t>
    </rPh>
    <phoneticPr fontId="1"/>
  </si>
  <si>
    <t>宮崎</t>
    <rPh sb="0" eb="2">
      <t>ミヤザキ</t>
    </rPh>
    <phoneticPr fontId="1"/>
  </si>
  <si>
    <t>高知</t>
    <rPh sb="0" eb="2">
      <t>コウチ</t>
    </rPh>
    <phoneticPr fontId="1"/>
  </si>
  <si>
    <t>愛媛</t>
    <rPh sb="0" eb="2">
      <t>エヒメ</t>
    </rPh>
    <phoneticPr fontId="1"/>
  </si>
  <si>
    <t>徳島</t>
    <rPh sb="0" eb="2">
      <t>トクシマ</t>
    </rPh>
    <phoneticPr fontId="1"/>
  </si>
  <si>
    <t>和歌山</t>
    <rPh sb="0" eb="3">
      <t>ワカヤマ</t>
    </rPh>
    <phoneticPr fontId="1"/>
  </si>
  <si>
    <t>山口</t>
    <rPh sb="0" eb="2">
      <t>ヤマグチ</t>
    </rPh>
    <phoneticPr fontId="1"/>
  </si>
  <si>
    <t>広島</t>
    <rPh sb="0" eb="2">
      <t>ヒロシマ</t>
    </rPh>
    <phoneticPr fontId="1"/>
  </si>
  <si>
    <t>島根</t>
    <rPh sb="0" eb="2">
      <t>シマネ</t>
    </rPh>
    <phoneticPr fontId="1"/>
  </si>
  <si>
    <t>石川</t>
    <rPh sb="0" eb="2">
      <t>イシカワ</t>
    </rPh>
    <phoneticPr fontId="1"/>
  </si>
  <si>
    <t>富山</t>
    <rPh sb="0" eb="2">
      <t>トヤマ</t>
    </rPh>
    <phoneticPr fontId="1"/>
  </si>
  <si>
    <t>青森</t>
    <rPh sb="0" eb="2">
      <t>アオモリ</t>
    </rPh>
    <phoneticPr fontId="1"/>
  </si>
  <si>
    <t>秋田</t>
    <rPh sb="0" eb="2">
      <t>アキタ</t>
    </rPh>
    <phoneticPr fontId="1"/>
  </si>
  <si>
    <t>岩手</t>
    <rPh sb="0" eb="2">
      <t>イワテ</t>
    </rPh>
    <phoneticPr fontId="1"/>
  </si>
  <si>
    <t>山形</t>
    <rPh sb="0" eb="2">
      <t>ヤマガタ</t>
    </rPh>
    <phoneticPr fontId="1"/>
  </si>
  <si>
    <t>福島</t>
    <rPh sb="0" eb="2">
      <t>フクシマ</t>
    </rPh>
    <phoneticPr fontId="1"/>
  </si>
  <si>
    <t>長野</t>
    <rPh sb="0" eb="2">
      <t>ナガノ</t>
    </rPh>
    <phoneticPr fontId="1"/>
  </si>
  <si>
    <t>滋賀</t>
    <rPh sb="0" eb="2">
      <t>シガ</t>
    </rPh>
    <phoneticPr fontId="1"/>
  </si>
  <si>
    <t>岐阜</t>
    <rPh sb="0" eb="2">
      <t>ギフ</t>
    </rPh>
    <phoneticPr fontId="1"/>
  </si>
  <si>
    <t>静岡</t>
    <rPh sb="0" eb="2">
      <t>シズオカ</t>
    </rPh>
    <phoneticPr fontId="1"/>
  </si>
  <si>
    <t>愛知</t>
    <rPh sb="0" eb="2">
      <t>アイチ</t>
    </rPh>
    <phoneticPr fontId="1"/>
  </si>
  <si>
    <t>三重</t>
    <rPh sb="0" eb="2">
      <t>ミエ</t>
    </rPh>
    <phoneticPr fontId="1"/>
  </si>
  <si>
    <t>奈良</t>
    <rPh sb="0" eb="2">
      <t>ナラ</t>
    </rPh>
    <phoneticPr fontId="1"/>
  </si>
  <si>
    <t>栃木</t>
    <rPh sb="0" eb="2">
      <t>トチギ</t>
    </rPh>
    <phoneticPr fontId="1"/>
  </si>
  <si>
    <t>茨城</t>
    <rPh sb="0" eb="2">
      <t>イバラキ</t>
    </rPh>
    <phoneticPr fontId="1"/>
  </si>
  <si>
    <t>千葉</t>
    <rPh sb="0" eb="2">
      <t>チバ</t>
    </rPh>
    <phoneticPr fontId="1"/>
  </si>
  <si>
    <t>群馬</t>
    <rPh sb="0" eb="2">
      <t>グンマ</t>
    </rPh>
    <phoneticPr fontId="1"/>
  </si>
  <si>
    <t>埼玉</t>
    <rPh sb="0" eb="2">
      <t>サイタマ</t>
    </rPh>
    <phoneticPr fontId="1"/>
  </si>
  <si>
    <t>新潟</t>
    <rPh sb="0" eb="2">
      <t>ニイガタ</t>
    </rPh>
    <phoneticPr fontId="1"/>
  </si>
  <si>
    <t>兵庫</t>
    <rPh sb="0" eb="2">
      <t>ヒョウゴ</t>
    </rPh>
    <phoneticPr fontId="1"/>
  </si>
  <si>
    <t>東京</t>
    <rPh sb="0" eb="2">
      <t>トウキョウ</t>
    </rPh>
    <phoneticPr fontId="1"/>
  </si>
  <si>
    <t>北海道</t>
    <rPh sb="0" eb="3">
      <t>ホッカイドウ</t>
    </rPh>
    <phoneticPr fontId="1"/>
  </si>
  <si>
    <t>提出地名</t>
    <rPh sb="0" eb="2">
      <t>テイシュツ</t>
    </rPh>
    <rPh sb="2" eb="4">
      <t>チメイ</t>
    </rPh>
    <phoneticPr fontId="1"/>
  </si>
  <si>
    <t>1923年(帝国議会貴族院事務局報告 第45囘)</t>
    <rPh sb="4" eb="5">
      <t>ネン</t>
    </rPh>
    <phoneticPr fontId="1"/>
  </si>
  <si>
    <t>https://dl.ndl.go.jp/pid/1682600</t>
    <phoneticPr fontId="1"/>
  </si>
  <si>
    <t>羽幌下沙間</t>
    <rPh sb="0" eb="1">
      <t>ハネ</t>
    </rPh>
    <rPh sb="2" eb="3">
      <t>シモ</t>
    </rPh>
    <rPh sb="3" eb="4">
      <t>スナ</t>
    </rPh>
    <rPh sb="4" eb="5">
      <t>アイダ</t>
    </rPh>
    <phoneticPr fontId="1"/>
  </si>
  <si>
    <t>上磯江差間</t>
    <rPh sb="0" eb="1">
      <t>ウエ</t>
    </rPh>
    <rPh sb="1" eb="2">
      <t>イソ</t>
    </rPh>
    <rPh sb="2" eb="3">
      <t>コウ</t>
    </rPh>
    <rPh sb="3" eb="4">
      <t>サ</t>
    </rPh>
    <rPh sb="4" eb="5">
      <t>カン</t>
    </rPh>
    <phoneticPr fontId="1"/>
  </si>
  <si>
    <t>根室斜里間</t>
    <rPh sb="0" eb="2">
      <t>ネムロ</t>
    </rPh>
    <rPh sb="2" eb="3">
      <t>ナナ</t>
    </rPh>
    <rPh sb="3" eb="4">
      <t>サト</t>
    </rPh>
    <rPh sb="4" eb="5">
      <t>カン</t>
    </rPh>
    <phoneticPr fontId="1"/>
  </si>
  <si>
    <t>斜里ヨリ根室線ニ通スル鉄道</t>
    <rPh sb="0" eb="2">
      <t>シャリ</t>
    </rPh>
    <rPh sb="4" eb="6">
      <t>ネムロ</t>
    </rPh>
    <rPh sb="6" eb="7">
      <t>セン</t>
    </rPh>
    <rPh sb="8" eb="9">
      <t>トオ</t>
    </rPh>
    <rPh sb="11" eb="13">
      <t>テツドウ</t>
    </rPh>
    <phoneticPr fontId="1"/>
  </si>
  <si>
    <t>相生釧路間</t>
    <rPh sb="0" eb="2">
      <t>アイオイ</t>
    </rPh>
    <rPh sb="2" eb="4">
      <t>クシロ</t>
    </rPh>
    <rPh sb="4" eb="5">
      <t>カン</t>
    </rPh>
    <phoneticPr fontId="1"/>
  </si>
  <si>
    <t>士別サクルー間並士別羽幌間</t>
    <rPh sb="0" eb="2">
      <t>シベツ</t>
    </rPh>
    <rPh sb="6" eb="7">
      <t>カン</t>
    </rPh>
    <rPh sb="7" eb="8">
      <t>ナラ</t>
    </rPh>
    <rPh sb="8" eb="10">
      <t>シベツ</t>
    </rPh>
    <rPh sb="10" eb="11">
      <t>ハネ</t>
    </rPh>
    <rPh sb="12" eb="13">
      <t>カン</t>
    </rPh>
    <phoneticPr fontId="1"/>
  </si>
  <si>
    <t>比布愛別間</t>
    <rPh sb="0" eb="2">
      <t>ヒヌノ</t>
    </rPh>
    <rPh sb="2" eb="4">
      <t>アイベツ</t>
    </rPh>
    <rPh sb="4" eb="5">
      <t>カン</t>
    </rPh>
    <phoneticPr fontId="1"/>
  </si>
  <si>
    <t>近文比布間</t>
    <rPh sb="0" eb="1">
      <t>チカ</t>
    </rPh>
    <rPh sb="1" eb="2">
      <t>ブン</t>
    </rPh>
    <rPh sb="2" eb="4">
      <t>ピップ</t>
    </rPh>
    <rPh sb="4" eb="5">
      <t>カン</t>
    </rPh>
    <phoneticPr fontId="1"/>
  </si>
  <si>
    <t>近文羽幌間</t>
    <rPh sb="0" eb="1">
      <t>チカ</t>
    </rPh>
    <rPh sb="1" eb="2">
      <t>ブン</t>
    </rPh>
    <rPh sb="2" eb="3">
      <t>ハネ</t>
    </rPh>
    <rPh sb="4" eb="5">
      <t>カン</t>
    </rPh>
    <phoneticPr fontId="1"/>
  </si>
  <si>
    <t>札幌沼田間</t>
    <rPh sb="0" eb="2">
      <t>サッポロ</t>
    </rPh>
    <rPh sb="2" eb="4">
      <t>ヌマタ</t>
    </rPh>
    <rPh sb="4" eb="5">
      <t>カン</t>
    </rPh>
    <phoneticPr fontId="1"/>
  </si>
  <si>
    <t>苫小牧帯廣間</t>
    <rPh sb="3" eb="4">
      <t>オビ</t>
    </rPh>
    <rPh sb="4" eb="5">
      <t>ヒロシ</t>
    </rPh>
    <rPh sb="5" eb="6">
      <t>アイダ</t>
    </rPh>
    <phoneticPr fontId="1"/>
  </si>
  <si>
    <t>柏原梁瀬間</t>
    <rPh sb="0" eb="2">
      <t>カシワバラ</t>
    </rPh>
    <rPh sb="2" eb="3">
      <t>リョウ</t>
    </rPh>
    <rPh sb="3" eb="4">
      <t>セ</t>
    </rPh>
    <rPh sb="4" eb="5">
      <t>カン</t>
    </rPh>
    <phoneticPr fontId="1"/>
  </si>
  <si>
    <t>姫路津山間</t>
    <rPh sb="0" eb="2">
      <t>ヒメジ</t>
    </rPh>
    <rPh sb="2" eb="4">
      <t>ツヤマ</t>
    </rPh>
    <rPh sb="4" eb="5">
      <t>カン</t>
    </rPh>
    <phoneticPr fontId="1"/>
  </si>
  <si>
    <t>彼杵武雄間</t>
    <rPh sb="0" eb="1">
      <t>カレ</t>
    </rPh>
    <rPh sb="2" eb="4">
      <t>タケオ</t>
    </rPh>
    <rPh sb="4" eb="5">
      <t>アイダ</t>
    </rPh>
    <phoneticPr fontId="1"/>
  </si>
  <si>
    <t>佐渡鉄道</t>
    <rPh sb="0" eb="4">
      <t>サドテツ</t>
    </rPh>
    <phoneticPr fontId="1"/>
  </si>
  <si>
    <t>澁川上田間</t>
    <rPh sb="0" eb="2">
      <t>シブカワ</t>
    </rPh>
    <rPh sb="2" eb="4">
      <t>ウエダ</t>
    </rPh>
    <rPh sb="4" eb="5">
      <t>カン</t>
    </rPh>
    <phoneticPr fontId="1"/>
  </si>
  <si>
    <t>大甕茂木間</t>
    <rPh sb="0" eb="1">
      <t>オオ</t>
    </rPh>
    <rPh sb="2" eb="4">
      <t>モテギ</t>
    </rPh>
    <rPh sb="4" eb="5">
      <t>カン</t>
    </rPh>
    <phoneticPr fontId="1"/>
  </si>
  <si>
    <t>日光足利間</t>
    <rPh sb="0" eb="2">
      <t>ニッコウ</t>
    </rPh>
    <rPh sb="2" eb="4">
      <t>アシカガ</t>
    </rPh>
    <rPh sb="4" eb="5">
      <t>カン</t>
    </rPh>
    <phoneticPr fontId="1"/>
  </si>
  <si>
    <t>宇都宮岩瀬間</t>
    <rPh sb="0" eb="3">
      <t>ウツノミヤ</t>
    </rPh>
    <rPh sb="3" eb="5">
      <t>イワセ</t>
    </rPh>
    <rPh sb="5" eb="6">
      <t>カン</t>
    </rPh>
    <phoneticPr fontId="1"/>
  </si>
  <si>
    <t>今市田島間</t>
    <rPh sb="0" eb="2">
      <t>イマイチ</t>
    </rPh>
    <rPh sb="2" eb="4">
      <t>タシマ</t>
    </rPh>
    <rPh sb="4" eb="5">
      <t>カン</t>
    </rPh>
    <phoneticPr fontId="1"/>
  </si>
  <si>
    <t>鹿沼古賀間</t>
    <rPh sb="0" eb="2">
      <t>シカヌマ</t>
    </rPh>
    <rPh sb="2" eb="4">
      <t>コガ</t>
    </rPh>
    <rPh sb="4" eb="5">
      <t>カン</t>
    </rPh>
    <phoneticPr fontId="1"/>
  </si>
  <si>
    <t>吉野松阪間</t>
    <rPh sb="0" eb="2">
      <t>ヨシノ</t>
    </rPh>
    <rPh sb="2" eb="4">
      <t>マツザカ</t>
    </rPh>
    <rPh sb="4" eb="5">
      <t>カン</t>
    </rPh>
    <phoneticPr fontId="1"/>
  </si>
  <si>
    <t>四日市木之本間</t>
    <rPh sb="0" eb="3">
      <t>ヨッカイチ</t>
    </rPh>
    <rPh sb="3" eb="6">
      <t>キノモト</t>
    </rPh>
    <rPh sb="6" eb="7">
      <t>カン</t>
    </rPh>
    <phoneticPr fontId="1"/>
  </si>
  <si>
    <t>相可大口間</t>
    <rPh sb="0" eb="1">
      <t>アイ</t>
    </rPh>
    <rPh sb="2" eb="4">
      <t>オオグチ</t>
    </rPh>
    <rPh sb="4" eb="5">
      <t>アイダ</t>
    </rPh>
    <phoneticPr fontId="1"/>
  </si>
  <si>
    <t>熱海下田間</t>
    <rPh sb="0" eb="2">
      <t>アタミ</t>
    </rPh>
    <rPh sb="2" eb="4">
      <t>シモタ</t>
    </rPh>
    <rPh sb="4" eb="5">
      <t>カン</t>
    </rPh>
    <phoneticPr fontId="1"/>
  </si>
  <si>
    <t>飯山高田間</t>
    <rPh sb="0" eb="2">
      <t>イイヤマ</t>
    </rPh>
    <rPh sb="2" eb="4">
      <t>タカダ</t>
    </rPh>
    <rPh sb="4" eb="5">
      <t>カン</t>
    </rPh>
    <phoneticPr fontId="1"/>
  </si>
  <si>
    <t>濱松辰野間</t>
    <rPh sb="0" eb="2">
      <t>ハママツ</t>
    </rPh>
    <rPh sb="2" eb="4">
      <t>タツノ</t>
    </rPh>
    <rPh sb="4" eb="5">
      <t>カン</t>
    </rPh>
    <phoneticPr fontId="1"/>
  </si>
  <si>
    <t>田島古町間</t>
    <rPh sb="0" eb="2">
      <t>タジマ</t>
    </rPh>
    <rPh sb="2" eb="4">
      <t>フルマチ</t>
    </rPh>
    <rPh sb="4" eb="5">
      <t>カン</t>
    </rPh>
    <phoneticPr fontId="1"/>
  </si>
  <si>
    <t>弘前田代間</t>
    <rPh sb="0" eb="2">
      <t>ヒロサキ</t>
    </rPh>
    <rPh sb="2" eb="4">
      <t>タシロ</t>
    </rPh>
    <rPh sb="4" eb="5">
      <t>カン</t>
    </rPh>
    <phoneticPr fontId="1"/>
  </si>
  <si>
    <t>田名郡大間間</t>
    <rPh sb="0" eb="2">
      <t>タナ</t>
    </rPh>
    <rPh sb="2" eb="3">
      <t>グン</t>
    </rPh>
    <rPh sb="3" eb="5">
      <t>オオマ</t>
    </rPh>
    <rPh sb="5" eb="6">
      <t>カン</t>
    </rPh>
    <phoneticPr fontId="1"/>
  </si>
  <si>
    <t>上磯鉄道</t>
    <rPh sb="0" eb="1">
      <t>ウエ</t>
    </rPh>
    <rPh sb="1" eb="2">
      <t>イソ</t>
    </rPh>
    <rPh sb="2" eb="4">
      <t>テツドウ</t>
    </rPh>
    <phoneticPr fontId="1"/>
  </si>
  <si>
    <t>五所川原青森間</t>
    <rPh sb="0" eb="2">
      <t>ゴショ</t>
    </rPh>
    <rPh sb="2" eb="4">
      <t>カワラ</t>
    </rPh>
    <rPh sb="4" eb="6">
      <t>アオモリ</t>
    </rPh>
    <rPh sb="6" eb="7">
      <t>カン</t>
    </rPh>
    <phoneticPr fontId="1"/>
  </si>
  <si>
    <t>三戸毛馬内間</t>
    <rPh sb="0" eb="1">
      <t>サン</t>
    </rPh>
    <rPh sb="1" eb="2">
      <t>コ</t>
    </rPh>
    <rPh sb="2" eb="4">
      <t>ケウマ</t>
    </rPh>
    <rPh sb="4" eb="5">
      <t>ウチ</t>
    </rPh>
    <rPh sb="5" eb="6">
      <t>アイダ</t>
    </rPh>
    <phoneticPr fontId="1"/>
  </si>
  <si>
    <t>尻内毛馬内間</t>
    <rPh sb="0" eb="2">
      <t>シリウチ</t>
    </rPh>
    <rPh sb="2" eb="4">
      <t>ケマ</t>
    </rPh>
    <rPh sb="4" eb="5">
      <t>ウチ</t>
    </rPh>
    <rPh sb="5" eb="6">
      <t>カン</t>
    </rPh>
    <phoneticPr fontId="1"/>
  </si>
  <si>
    <t>水澤世田米間</t>
    <rPh sb="0" eb="2">
      <t>ミズサワ</t>
    </rPh>
    <rPh sb="2" eb="4">
      <t>セタ</t>
    </rPh>
    <rPh sb="4" eb="5">
      <t>コメ</t>
    </rPh>
    <rPh sb="5" eb="6">
      <t>カン</t>
    </rPh>
    <phoneticPr fontId="1"/>
  </si>
  <si>
    <t>高田川井間</t>
    <rPh sb="0" eb="2">
      <t>タカタ</t>
    </rPh>
    <rPh sb="2" eb="4">
      <t>カワイ</t>
    </rPh>
    <rPh sb="4" eb="5">
      <t>カン</t>
    </rPh>
    <phoneticPr fontId="1"/>
  </si>
  <si>
    <t>角館鷹巣間</t>
    <rPh sb="0" eb="1">
      <t>ツノ</t>
    </rPh>
    <rPh sb="1" eb="2">
      <t>カン</t>
    </rPh>
    <rPh sb="2" eb="3">
      <t>タカ</t>
    </rPh>
    <rPh sb="3" eb="4">
      <t>ス</t>
    </rPh>
    <rPh sb="4" eb="5">
      <t>カン</t>
    </rPh>
    <phoneticPr fontId="1"/>
  </si>
  <si>
    <t>氷見羽昨間</t>
    <rPh sb="0" eb="1">
      <t>コオリ</t>
    </rPh>
    <rPh sb="1" eb="2">
      <t>ミ</t>
    </rPh>
    <rPh sb="2" eb="3">
      <t>ハネ</t>
    </rPh>
    <rPh sb="3" eb="4">
      <t>サク</t>
    </rPh>
    <rPh sb="4" eb="5">
      <t>アイダ</t>
    </rPh>
    <phoneticPr fontId="1"/>
  </si>
  <si>
    <t>日原岩國間並日原江崎間</t>
    <rPh sb="0" eb="1">
      <t>ニチ</t>
    </rPh>
    <rPh sb="1" eb="2">
      <t>ハラ</t>
    </rPh>
    <rPh sb="2" eb="4">
      <t>イワクニ</t>
    </rPh>
    <rPh sb="4" eb="5">
      <t>カン</t>
    </rPh>
    <rPh sb="5" eb="6">
      <t>ナラ</t>
    </rPh>
    <rPh sb="6" eb="8">
      <t>ニチハラ</t>
    </rPh>
    <rPh sb="8" eb="10">
      <t>エザキ</t>
    </rPh>
    <rPh sb="10" eb="11">
      <t>カン</t>
    </rPh>
    <phoneticPr fontId="1"/>
  </si>
  <si>
    <t>益田ヨリ吉田ヲ経テ山陽本線ニ通スル鉄道</t>
    <rPh sb="0" eb="2">
      <t>マスダ</t>
    </rPh>
    <rPh sb="4" eb="6">
      <t>ヨシダ</t>
    </rPh>
    <rPh sb="7" eb="8">
      <t>キョウ</t>
    </rPh>
    <rPh sb="9" eb="11">
      <t>サンヨウ</t>
    </rPh>
    <rPh sb="11" eb="13">
      <t>ホンセン</t>
    </rPh>
    <rPh sb="14" eb="15">
      <t>ドオリ</t>
    </rPh>
    <rPh sb="17" eb="19">
      <t>テツドウ</t>
    </rPh>
    <phoneticPr fontId="1"/>
  </si>
  <si>
    <t>廣島濱田間</t>
    <rPh sb="0" eb="2">
      <t>ヒロシマ</t>
    </rPh>
    <rPh sb="2" eb="3">
      <t>ハマ</t>
    </rPh>
    <rPh sb="3" eb="4">
      <t>タ</t>
    </rPh>
    <rPh sb="4" eb="5">
      <t>カン</t>
    </rPh>
    <phoneticPr fontId="1"/>
  </si>
  <si>
    <t>那波又ハ有年ヨリ岡山ニ至ル鉄道</t>
    <rPh sb="0" eb="2">
      <t>ナバ</t>
    </rPh>
    <rPh sb="2" eb="3">
      <t>マタ</t>
    </rPh>
    <rPh sb="4" eb="6">
      <t>ウネ</t>
    </rPh>
    <rPh sb="8" eb="10">
      <t>オカヤマ</t>
    </rPh>
    <rPh sb="11" eb="12">
      <t>イタル</t>
    </rPh>
    <rPh sb="13" eb="15">
      <t>テツドウ</t>
    </rPh>
    <phoneticPr fontId="1"/>
  </si>
  <si>
    <t>横川周布間</t>
    <rPh sb="0" eb="2">
      <t>ヨコガワ</t>
    </rPh>
    <rPh sb="2" eb="3">
      <t>シュウ</t>
    </rPh>
    <rPh sb="3" eb="4">
      <t>ヌノ</t>
    </rPh>
    <rPh sb="4" eb="5">
      <t>カン</t>
    </rPh>
    <phoneticPr fontId="1"/>
  </si>
  <si>
    <t>三次木次間</t>
    <rPh sb="0" eb="1">
      <t>サン</t>
    </rPh>
    <rPh sb="1" eb="2">
      <t>ツギ</t>
    </rPh>
    <rPh sb="2" eb="3">
      <t>キ</t>
    </rPh>
    <rPh sb="3" eb="4">
      <t>ツギ</t>
    </rPh>
    <rPh sb="4" eb="5">
      <t>カン</t>
    </rPh>
    <phoneticPr fontId="1"/>
  </si>
  <si>
    <t>廿日市津和野間</t>
    <rPh sb="1" eb="2">
      <t>ニチ</t>
    </rPh>
    <rPh sb="2" eb="3">
      <t>イチ</t>
    </rPh>
    <rPh sb="3" eb="6">
      <t>ツワノ</t>
    </rPh>
    <rPh sb="6" eb="7">
      <t>カン</t>
    </rPh>
    <phoneticPr fontId="1"/>
  </si>
  <si>
    <t>小松島後免間</t>
    <rPh sb="0" eb="2">
      <t>コマツ</t>
    </rPh>
    <rPh sb="2" eb="3">
      <t>シマ</t>
    </rPh>
    <rPh sb="3" eb="4">
      <t>アト</t>
    </rPh>
    <rPh sb="4" eb="5">
      <t>メン</t>
    </rPh>
    <rPh sb="5" eb="6">
      <t>カン</t>
    </rPh>
    <phoneticPr fontId="1"/>
  </si>
  <si>
    <t>延岡三田井間</t>
    <rPh sb="0" eb="2">
      <t>ノベオカ</t>
    </rPh>
    <rPh sb="2" eb="3">
      <t>ミ</t>
    </rPh>
    <rPh sb="3" eb="5">
      <t>タイ</t>
    </rPh>
    <rPh sb="5" eb="6">
      <t>カン</t>
    </rPh>
    <phoneticPr fontId="1"/>
  </si>
  <si>
    <t>志布志外ノ浦港間</t>
    <rPh sb="0" eb="1">
      <t>ココロザシ</t>
    </rPh>
    <rPh sb="1" eb="2">
      <t>ヌノ</t>
    </rPh>
    <rPh sb="2" eb="3">
      <t>ココロザシ</t>
    </rPh>
    <rPh sb="3" eb="4">
      <t>ソト</t>
    </rPh>
    <rPh sb="5" eb="6">
      <t>ウラ</t>
    </rPh>
    <rPh sb="6" eb="7">
      <t>ミナト</t>
    </rPh>
    <rPh sb="7" eb="8">
      <t>カン</t>
    </rPh>
    <phoneticPr fontId="1"/>
  </si>
  <si>
    <t>鹿児島加世田間</t>
    <rPh sb="0" eb="3">
      <t>カゴシマ</t>
    </rPh>
    <rPh sb="3" eb="4">
      <t>クワ</t>
    </rPh>
    <rPh sb="4" eb="5">
      <t>セ</t>
    </rPh>
    <rPh sb="5" eb="6">
      <t>タ</t>
    </rPh>
    <rPh sb="6" eb="7">
      <t>カン</t>
    </rPh>
    <phoneticPr fontId="1"/>
  </si>
  <si>
    <t>大淀外ノ浦港間</t>
    <rPh sb="0" eb="1">
      <t>オオ</t>
    </rPh>
    <rPh sb="1" eb="2">
      <t>ヨド</t>
    </rPh>
    <rPh sb="2" eb="3">
      <t>ソト</t>
    </rPh>
    <rPh sb="4" eb="5">
      <t>ウラ</t>
    </rPh>
    <rPh sb="5" eb="6">
      <t>ミナト</t>
    </rPh>
    <rPh sb="6" eb="7">
      <t>カン</t>
    </rPh>
    <phoneticPr fontId="1"/>
  </si>
  <si>
    <t>佐賀</t>
    <rPh sb="0" eb="2">
      <t>サガ</t>
    </rPh>
    <phoneticPr fontId="1"/>
  </si>
  <si>
    <t>福岡</t>
    <rPh sb="0" eb="2">
      <t>フクオカ</t>
    </rPh>
    <phoneticPr fontId="1"/>
  </si>
  <si>
    <t>岡山</t>
    <rPh sb="0" eb="2">
      <t>オカヤマ</t>
    </rPh>
    <phoneticPr fontId="1"/>
  </si>
  <si>
    <t>弘前田代間軽便</t>
    <rPh sb="0" eb="2">
      <t>ヒロサキ</t>
    </rPh>
    <rPh sb="2" eb="4">
      <t>タシロ</t>
    </rPh>
    <rPh sb="4" eb="5">
      <t>カン</t>
    </rPh>
    <rPh sb="5" eb="7">
      <t>ケイビン</t>
    </rPh>
    <phoneticPr fontId="1"/>
  </si>
  <si>
    <t>長崎</t>
    <rPh sb="0" eb="2">
      <t>ナガサキ</t>
    </rPh>
    <phoneticPr fontId="1"/>
  </si>
  <si>
    <t>開通</t>
    <rPh sb="0" eb="2">
      <t>カイツウ</t>
    </rPh>
    <phoneticPr fontId="1"/>
  </si>
  <si>
    <t>◯</t>
    <phoneticPr fontId="1"/>
  </si>
  <si>
    <t>✕</t>
    <phoneticPr fontId="1"/>
  </si>
  <si>
    <t>その他</t>
    <rPh sb="2" eb="3">
      <t>タ</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</si>
</sst>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sz val="11"/>
      <color theme="1"/>
      <name val="游ゴシック"/>
      <family val="2"/>
      <charset val="128"/>
    </font>
    <font>
      <sz val="11"/>
      <color rgb="FFFF0000"/>
      <name val="游ゴシック"/>
      <family val="3"/>
      <charset val="128"/>
      <scheme val="minor"/>
    </font>
    <font>
      <sz val="11"/>
      <color rgb="FFFF0000"/>
      <name val="游ゴシック"/>
      <family val="3"/>
      <charset val="128"/>
    </font>
    <font>
      <sz val="11"/>
      <name val="游ゴシック"/>
      <family val="3"/>
      <charset val="128"/>
      <scheme val="minor"/>
    </font>
    <font>
      <sz val="11"/>
      <color theme="1"/>
      <name val="游ゴシック"/>
      <family val="2"/>
      <charset val="128"/>
      <scheme val="minor"/>
    </font>
    <font>
      <sz val="11"/>
      <color theme="1"/>
      <name val="Segoe UI Symbol"/>
      <family val="2"/>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3">
    <xf numFmtId="0" fontId="0" fillId="0" borderId="0">
      <alignment vertical="center"/>
    </xf>
    <xf numFmtId="0" fontId="2" fillId="0" borderId="0" applyNumberFormat="0" applyFill="0" applyBorder="0" applyAlignment="0" applyProtection="0">
      <alignment vertical="center"/>
    </xf>
    <xf numFmtId="9" fontId="7" fillId="0" borderId="0" applyFont="0" applyFill="0" applyBorder="0" applyAlignment="0" applyProtection="0">
      <alignment vertical="center"/>
    </xf>
  </cellStyleXfs>
  <cellXfs count="25">
    <xf numFmtId="0" fontId="0" fillId="0" borderId="0" xfId="0">
      <alignment vertical="center"/>
    </xf>
    <xf numFmtId="0" fontId="2" fillId="0" borderId="0" xfId="1">
      <alignment vertical="center"/>
    </xf>
    <xf numFmtId="0" fontId="0" fillId="0" borderId="0" xfId="0" applyAlignment="1">
      <alignment horizontal="center" vertical="center"/>
    </xf>
    <xf numFmtId="0" fontId="0" fillId="0" borderId="1" xfId="0" applyBorder="1">
      <alignment vertical="center"/>
    </xf>
    <xf numFmtId="0" fontId="0" fillId="0" borderId="1" xfId="0" applyBorder="1" applyAlignment="1">
      <alignment horizontal="center" vertical="center"/>
    </xf>
    <xf numFmtId="0" fontId="2" fillId="0" borderId="1" xfId="1" applyBorder="1">
      <alignment vertical="center"/>
    </xf>
    <xf numFmtId="0" fontId="0" fillId="0" borderId="1" xfId="0" applyBorder="1" applyAlignment="1">
      <alignment vertical="center" wrapText="1"/>
    </xf>
    <xf numFmtId="0" fontId="2" fillId="0" borderId="1" xfId="1" applyBorder="1" applyAlignment="1">
      <alignment vertical="center" wrapText="1"/>
    </xf>
    <xf numFmtId="0" fontId="6" fillId="0" borderId="1" xfId="1" applyNumberFormat="1" applyFont="1" applyBorder="1" applyAlignment="1">
      <alignment vertical="center" wrapText="1"/>
    </xf>
    <xf numFmtId="0" fontId="6" fillId="0" borderId="1" xfId="0" applyFont="1" applyBorder="1">
      <alignment vertical="center"/>
    </xf>
    <xf numFmtId="0" fontId="2" fillId="0" borderId="1" xfId="1" applyBorder="1" applyAlignment="1">
      <alignment vertical="center" shrinkToFit="1"/>
    </xf>
    <xf numFmtId="0" fontId="0" fillId="0" borderId="1" xfId="0" applyBorder="1" applyAlignment="1">
      <alignment vertical="center" shrinkToFit="1"/>
    </xf>
    <xf numFmtId="0" fontId="0" fillId="0" borderId="0" xfId="0" applyAlignment="1">
      <alignment vertical="center" shrinkToFit="1"/>
    </xf>
    <xf numFmtId="9" fontId="0" fillId="0" borderId="0" xfId="2" applyFont="1">
      <alignment vertical="center"/>
    </xf>
    <xf numFmtId="0" fontId="0" fillId="0" borderId="6" xfId="0" applyBorder="1">
      <alignment vertical="center"/>
    </xf>
    <xf numFmtId="0" fontId="8" fillId="0" borderId="0" xfId="0" applyFont="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2" fillId="0" borderId="1" xfId="1" applyBorder="1" applyAlignment="1">
      <alignment horizontal="center" vertical="center"/>
    </xf>
    <xf numFmtId="0" fontId="0" fillId="0" borderId="1" xfId="0" applyBorder="1" applyAlignment="1">
      <alignment horizontal="center" vertical="center" wrapText="1"/>
    </xf>
    <xf numFmtId="0" fontId="2" fillId="0" borderId="1" xfId="1" applyBorder="1" applyAlignment="1">
      <alignment horizontal="center" vertical="center" wrapText="1"/>
    </xf>
    <xf numFmtId="0" fontId="0" fillId="0" borderId="1" xfId="0" applyBorder="1" applyAlignment="1">
      <alignment vertical="center" wrapText="1"/>
    </xf>
  </cellXfs>
  <cellStyles count="3">
    <cellStyle name="パーセント" xfId="2" builtinId="5"/>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chartsheet" Target="chartsheets/sheet1.xml"/><Relationship Id="rId7" Type="http://schemas.openxmlformats.org/officeDocument/2006/relationships/worksheet" Target="worksheets/sheet5.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sharedStrings" Target="sharedStrings.xml"/><Relationship Id="rId5" Type="http://schemas.openxmlformats.org/officeDocument/2006/relationships/chartsheet" Target="chartsheets/sheet2.xml"/><Relationship Id="rId10" Type="http://schemas.openxmlformats.org/officeDocument/2006/relationships/styles" Target="styles.xml"/><Relationship Id="rId4" Type="http://schemas.openxmlformats.org/officeDocument/2006/relationships/worksheet" Target="worksheets/sheet3.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メイリオ" panose="020B0604030504040204" pitchFamily="50" charset="-128"/>
                <a:ea typeface="メイリオ" panose="020B0604030504040204" pitchFamily="50" charset="-128"/>
                <a:cs typeface="+mn-cs"/>
              </a:defRPr>
            </a:pPr>
            <a:r>
              <a:rPr lang="ja-JP"/>
              <a:t>佐渡人口の推移</a:t>
            </a:r>
          </a:p>
        </c:rich>
      </c:tx>
      <c:layout>
        <c:manualLayout>
          <c:xMode val="edge"/>
          <c:yMode val="edge"/>
          <c:x val="0.41552371935870097"/>
          <c:y val="0"/>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メイリオ" panose="020B0604030504040204" pitchFamily="50" charset="-128"/>
              <a:ea typeface="メイリオ" panose="020B0604030504040204" pitchFamily="50" charset="-128"/>
              <a:cs typeface="+mn-cs"/>
            </a:defRPr>
          </a:pPr>
          <a:endParaRPr lang="ja-JP"/>
        </a:p>
      </c:txPr>
    </c:title>
    <c:autoTitleDeleted val="0"/>
    <c:plotArea>
      <c:layout>
        <c:manualLayout>
          <c:layoutTarget val="inner"/>
          <c:xMode val="edge"/>
          <c:yMode val="edge"/>
          <c:x val="0.13767967596652722"/>
          <c:y val="8.4383334843414481E-2"/>
          <c:w val="0.71002127675146798"/>
          <c:h val="0.65099466487503377"/>
        </c:manualLayout>
      </c:layout>
      <c:lineChart>
        <c:grouping val="standard"/>
        <c:varyColors val="0"/>
        <c:ser>
          <c:idx val="1"/>
          <c:order val="1"/>
          <c:tx>
            <c:strRef>
              <c:f>地域別人口!$D$1</c:f>
              <c:strCache>
                <c:ptCount val="1"/>
                <c:pt idx="0">
                  <c:v>夷町(両津町)</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地域別人口!$B$2:$B$46</c:f>
              <c:numCache>
                <c:formatCode>General</c:formatCode>
                <c:ptCount val="45"/>
                <c:pt idx="0">
                  <c:v>1877</c:v>
                </c:pt>
                <c:pt idx="1">
                  <c:v>1878</c:v>
                </c:pt>
                <c:pt idx="2">
                  <c:v>1879</c:v>
                </c:pt>
                <c:pt idx="3">
                  <c:v>1880</c:v>
                </c:pt>
                <c:pt idx="4">
                  <c:v>1881</c:v>
                </c:pt>
                <c:pt idx="5">
                  <c:v>1882</c:v>
                </c:pt>
                <c:pt idx="6">
                  <c:v>1883</c:v>
                </c:pt>
                <c:pt idx="7">
                  <c:v>1884</c:v>
                </c:pt>
                <c:pt idx="8">
                  <c:v>1885</c:v>
                </c:pt>
                <c:pt idx="9">
                  <c:v>1886</c:v>
                </c:pt>
                <c:pt idx="10">
                  <c:v>1887</c:v>
                </c:pt>
                <c:pt idx="11">
                  <c:v>1888</c:v>
                </c:pt>
                <c:pt idx="12">
                  <c:v>1889</c:v>
                </c:pt>
                <c:pt idx="13">
                  <c:v>1890</c:v>
                </c:pt>
                <c:pt idx="14">
                  <c:v>1891</c:v>
                </c:pt>
                <c:pt idx="15">
                  <c:v>1892</c:v>
                </c:pt>
                <c:pt idx="16">
                  <c:v>1893</c:v>
                </c:pt>
                <c:pt idx="17">
                  <c:v>1894</c:v>
                </c:pt>
                <c:pt idx="18">
                  <c:v>1895</c:v>
                </c:pt>
                <c:pt idx="19">
                  <c:v>1896</c:v>
                </c:pt>
                <c:pt idx="20">
                  <c:v>1897</c:v>
                </c:pt>
                <c:pt idx="21">
                  <c:v>1898</c:v>
                </c:pt>
                <c:pt idx="22">
                  <c:v>1899</c:v>
                </c:pt>
                <c:pt idx="23">
                  <c:v>1900</c:v>
                </c:pt>
                <c:pt idx="24">
                  <c:v>1901</c:v>
                </c:pt>
                <c:pt idx="25">
                  <c:v>1902</c:v>
                </c:pt>
                <c:pt idx="26">
                  <c:v>1903</c:v>
                </c:pt>
                <c:pt idx="27">
                  <c:v>1904</c:v>
                </c:pt>
                <c:pt idx="28">
                  <c:v>1905</c:v>
                </c:pt>
                <c:pt idx="29">
                  <c:v>1906</c:v>
                </c:pt>
                <c:pt idx="30">
                  <c:v>1907</c:v>
                </c:pt>
                <c:pt idx="31">
                  <c:v>1908</c:v>
                </c:pt>
                <c:pt idx="32">
                  <c:v>1909</c:v>
                </c:pt>
                <c:pt idx="33">
                  <c:v>1910</c:v>
                </c:pt>
                <c:pt idx="34">
                  <c:v>1911</c:v>
                </c:pt>
                <c:pt idx="35">
                  <c:v>1912</c:v>
                </c:pt>
                <c:pt idx="36">
                  <c:v>1913</c:v>
                </c:pt>
                <c:pt idx="37">
                  <c:v>1914</c:v>
                </c:pt>
                <c:pt idx="38">
                  <c:v>1915</c:v>
                </c:pt>
                <c:pt idx="39">
                  <c:v>1916</c:v>
                </c:pt>
                <c:pt idx="40">
                  <c:v>1917</c:v>
                </c:pt>
                <c:pt idx="41">
                  <c:v>1918</c:v>
                </c:pt>
                <c:pt idx="42">
                  <c:v>1919</c:v>
                </c:pt>
                <c:pt idx="43">
                  <c:v>1920</c:v>
                </c:pt>
                <c:pt idx="44">
                  <c:v>1921</c:v>
                </c:pt>
              </c:numCache>
            </c:numRef>
          </c:cat>
          <c:val>
            <c:numRef>
              <c:f>地域別人口!$D$2:$D$46</c:f>
              <c:numCache>
                <c:formatCode>General</c:formatCode>
                <c:ptCount val="45"/>
                <c:pt idx="11">
                  <c:v>1822</c:v>
                </c:pt>
                <c:pt idx="17">
                  <c:v>1974</c:v>
                </c:pt>
                <c:pt idx="21">
                  <c:v>2004</c:v>
                </c:pt>
                <c:pt idx="26">
                  <c:v>4910</c:v>
                </c:pt>
                <c:pt idx="31">
                  <c:v>5512</c:v>
                </c:pt>
                <c:pt idx="33">
                  <c:v>5756</c:v>
                </c:pt>
                <c:pt idx="34">
                  <c:v>5967</c:v>
                </c:pt>
                <c:pt idx="43">
                  <c:v>6507</c:v>
                </c:pt>
              </c:numCache>
            </c:numRef>
          </c:val>
          <c:smooth val="0"/>
          <c:extLst>
            <c:ext xmlns:c16="http://schemas.microsoft.com/office/drawing/2014/chart" uri="{C3380CC4-5D6E-409C-BE32-E72D297353CC}">
              <c16:uniqueId val="{00000001-5B74-4B2C-BBFE-C96608CC078F}"/>
            </c:ext>
          </c:extLst>
        </c:ser>
        <c:ser>
          <c:idx val="2"/>
          <c:order val="2"/>
          <c:tx>
            <c:strRef>
              <c:f>地域別人口!$E$1</c:f>
              <c:strCache>
                <c:ptCount val="1"/>
                <c:pt idx="0">
                  <c:v>眞(真)野村</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地域別人口!$B$2:$B$46</c:f>
              <c:numCache>
                <c:formatCode>General</c:formatCode>
                <c:ptCount val="45"/>
                <c:pt idx="0">
                  <c:v>1877</c:v>
                </c:pt>
                <c:pt idx="1">
                  <c:v>1878</c:v>
                </c:pt>
                <c:pt idx="2">
                  <c:v>1879</c:v>
                </c:pt>
                <c:pt idx="3">
                  <c:v>1880</c:v>
                </c:pt>
                <c:pt idx="4">
                  <c:v>1881</c:v>
                </c:pt>
                <c:pt idx="5">
                  <c:v>1882</c:v>
                </c:pt>
                <c:pt idx="6">
                  <c:v>1883</c:v>
                </c:pt>
                <c:pt idx="7">
                  <c:v>1884</c:v>
                </c:pt>
                <c:pt idx="8">
                  <c:v>1885</c:v>
                </c:pt>
                <c:pt idx="9">
                  <c:v>1886</c:v>
                </c:pt>
                <c:pt idx="10">
                  <c:v>1887</c:v>
                </c:pt>
                <c:pt idx="11">
                  <c:v>1888</c:v>
                </c:pt>
                <c:pt idx="12">
                  <c:v>1889</c:v>
                </c:pt>
                <c:pt idx="13">
                  <c:v>1890</c:v>
                </c:pt>
                <c:pt idx="14">
                  <c:v>1891</c:v>
                </c:pt>
                <c:pt idx="15">
                  <c:v>1892</c:v>
                </c:pt>
                <c:pt idx="16">
                  <c:v>1893</c:v>
                </c:pt>
                <c:pt idx="17">
                  <c:v>1894</c:v>
                </c:pt>
                <c:pt idx="18">
                  <c:v>1895</c:v>
                </c:pt>
                <c:pt idx="19">
                  <c:v>1896</c:v>
                </c:pt>
                <c:pt idx="20">
                  <c:v>1897</c:v>
                </c:pt>
                <c:pt idx="21">
                  <c:v>1898</c:v>
                </c:pt>
                <c:pt idx="22">
                  <c:v>1899</c:v>
                </c:pt>
                <c:pt idx="23">
                  <c:v>1900</c:v>
                </c:pt>
                <c:pt idx="24">
                  <c:v>1901</c:v>
                </c:pt>
                <c:pt idx="25">
                  <c:v>1902</c:v>
                </c:pt>
                <c:pt idx="26">
                  <c:v>1903</c:v>
                </c:pt>
                <c:pt idx="27">
                  <c:v>1904</c:v>
                </c:pt>
                <c:pt idx="28">
                  <c:v>1905</c:v>
                </c:pt>
                <c:pt idx="29">
                  <c:v>1906</c:v>
                </c:pt>
                <c:pt idx="30">
                  <c:v>1907</c:v>
                </c:pt>
                <c:pt idx="31">
                  <c:v>1908</c:v>
                </c:pt>
                <c:pt idx="32">
                  <c:v>1909</c:v>
                </c:pt>
                <c:pt idx="33">
                  <c:v>1910</c:v>
                </c:pt>
                <c:pt idx="34">
                  <c:v>1911</c:v>
                </c:pt>
                <c:pt idx="35">
                  <c:v>1912</c:v>
                </c:pt>
                <c:pt idx="36">
                  <c:v>1913</c:v>
                </c:pt>
                <c:pt idx="37">
                  <c:v>1914</c:v>
                </c:pt>
                <c:pt idx="38">
                  <c:v>1915</c:v>
                </c:pt>
                <c:pt idx="39">
                  <c:v>1916</c:v>
                </c:pt>
                <c:pt idx="40">
                  <c:v>1917</c:v>
                </c:pt>
                <c:pt idx="41">
                  <c:v>1918</c:v>
                </c:pt>
                <c:pt idx="42">
                  <c:v>1919</c:v>
                </c:pt>
                <c:pt idx="43">
                  <c:v>1920</c:v>
                </c:pt>
                <c:pt idx="44">
                  <c:v>1921</c:v>
                </c:pt>
              </c:numCache>
            </c:numRef>
          </c:cat>
          <c:val>
            <c:numRef>
              <c:f>地域別人口!$E$2:$E$46</c:f>
              <c:numCache>
                <c:formatCode>General</c:formatCode>
                <c:ptCount val="45"/>
                <c:pt idx="17">
                  <c:v>2727</c:v>
                </c:pt>
                <c:pt idx="21">
                  <c:v>2525</c:v>
                </c:pt>
                <c:pt idx="26">
                  <c:v>8884</c:v>
                </c:pt>
                <c:pt idx="31">
                  <c:v>7295</c:v>
                </c:pt>
                <c:pt idx="33">
                  <c:v>7496</c:v>
                </c:pt>
                <c:pt idx="34">
                  <c:v>7679</c:v>
                </c:pt>
                <c:pt idx="43">
                  <c:v>6838</c:v>
                </c:pt>
              </c:numCache>
            </c:numRef>
          </c:val>
          <c:smooth val="0"/>
          <c:extLst>
            <c:ext xmlns:c16="http://schemas.microsoft.com/office/drawing/2014/chart" uri="{C3380CC4-5D6E-409C-BE32-E72D297353CC}">
              <c16:uniqueId val="{00000002-5B74-4B2C-BBFE-C96608CC078F}"/>
            </c:ext>
          </c:extLst>
        </c:ser>
        <c:ser>
          <c:idx val="3"/>
          <c:order val="3"/>
          <c:tx>
            <c:strRef>
              <c:f>地域別人口!$F$1</c:f>
              <c:strCache>
                <c:ptCount val="1"/>
                <c:pt idx="0">
                  <c:v>河原田町</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地域別人口!$B$2:$B$46</c:f>
              <c:numCache>
                <c:formatCode>General</c:formatCode>
                <c:ptCount val="45"/>
                <c:pt idx="0">
                  <c:v>1877</c:v>
                </c:pt>
                <c:pt idx="1">
                  <c:v>1878</c:v>
                </c:pt>
                <c:pt idx="2">
                  <c:v>1879</c:v>
                </c:pt>
                <c:pt idx="3">
                  <c:v>1880</c:v>
                </c:pt>
                <c:pt idx="4">
                  <c:v>1881</c:v>
                </c:pt>
                <c:pt idx="5">
                  <c:v>1882</c:v>
                </c:pt>
                <c:pt idx="6">
                  <c:v>1883</c:v>
                </c:pt>
                <c:pt idx="7">
                  <c:v>1884</c:v>
                </c:pt>
                <c:pt idx="8">
                  <c:v>1885</c:v>
                </c:pt>
                <c:pt idx="9">
                  <c:v>1886</c:v>
                </c:pt>
                <c:pt idx="10">
                  <c:v>1887</c:v>
                </c:pt>
                <c:pt idx="11">
                  <c:v>1888</c:v>
                </c:pt>
                <c:pt idx="12">
                  <c:v>1889</c:v>
                </c:pt>
                <c:pt idx="13">
                  <c:v>1890</c:v>
                </c:pt>
                <c:pt idx="14">
                  <c:v>1891</c:v>
                </c:pt>
                <c:pt idx="15">
                  <c:v>1892</c:v>
                </c:pt>
                <c:pt idx="16">
                  <c:v>1893</c:v>
                </c:pt>
                <c:pt idx="17">
                  <c:v>1894</c:v>
                </c:pt>
                <c:pt idx="18">
                  <c:v>1895</c:v>
                </c:pt>
                <c:pt idx="19">
                  <c:v>1896</c:v>
                </c:pt>
                <c:pt idx="20">
                  <c:v>1897</c:v>
                </c:pt>
                <c:pt idx="21">
                  <c:v>1898</c:v>
                </c:pt>
                <c:pt idx="22">
                  <c:v>1899</c:v>
                </c:pt>
                <c:pt idx="23">
                  <c:v>1900</c:v>
                </c:pt>
                <c:pt idx="24">
                  <c:v>1901</c:v>
                </c:pt>
                <c:pt idx="25">
                  <c:v>1902</c:v>
                </c:pt>
                <c:pt idx="26">
                  <c:v>1903</c:v>
                </c:pt>
                <c:pt idx="27">
                  <c:v>1904</c:v>
                </c:pt>
                <c:pt idx="28">
                  <c:v>1905</c:v>
                </c:pt>
                <c:pt idx="29">
                  <c:v>1906</c:v>
                </c:pt>
                <c:pt idx="30">
                  <c:v>1907</c:v>
                </c:pt>
                <c:pt idx="31">
                  <c:v>1908</c:v>
                </c:pt>
                <c:pt idx="32">
                  <c:v>1909</c:v>
                </c:pt>
                <c:pt idx="33">
                  <c:v>1910</c:v>
                </c:pt>
                <c:pt idx="34">
                  <c:v>1911</c:v>
                </c:pt>
                <c:pt idx="35">
                  <c:v>1912</c:v>
                </c:pt>
                <c:pt idx="36">
                  <c:v>1913</c:v>
                </c:pt>
                <c:pt idx="37">
                  <c:v>1914</c:v>
                </c:pt>
                <c:pt idx="38">
                  <c:v>1915</c:v>
                </c:pt>
                <c:pt idx="39">
                  <c:v>1916</c:v>
                </c:pt>
                <c:pt idx="40">
                  <c:v>1917</c:v>
                </c:pt>
                <c:pt idx="41">
                  <c:v>1918</c:v>
                </c:pt>
                <c:pt idx="42">
                  <c:v>1919</c:v>
                </c:pt>
                <c:pt idx="43">
                  <c:v>1920</c:v>
                </c:pt>
                <c:pt idx="44">
                  <c:v>1921</c:v>
                </c:pt>
              </c:numCache>
            </c:numRef>
          </c:cat>
          <c:val>
            <c:numRef>
              <c:f>地域別人口!$F$2:$F$46</c:f>
              <c:numCache>
                <c:formatCode>General</c:formatCode>
                <c:ptCount val="45"/>
                <c:pt idx="17">
                  <c:v>2169</c:v>
                </c:pt>
                <c:pt idx="21">
                  <c:v>2235</c:v>
                </c:pt>
                <c:pt idx="26">
                  <c:v>2284</c:v>
                </c:pt>
                <c:pt idx="31">
                  <c:v>2820</c:v>
                </c:pt>
                <c:pt idx="33">
                  <c:v>2323</c:v>
                </c:pt>
                <c:pt idx="34">
                  <c:v>2388</c:v>
                </c:pt>
                <c:pt idx="43">
                  <c:v>2070</c:v>
                </c:pt>
              </c:numCache>
            </c:numRef>
          </c:val>
          <c:smooth val="0"/>
          <c:extLst>
            <c:ext xmlns:c16="http://schemas.microsoft.com/office/drawing/2014/chart" uri="{C3380CC4-5D6E-409C-BE32-E72D297353CC}">
              <c16:uniqueId val="{00000003-5B74-4B2C-BBFE-C96608CC078F}"/>
            </c:ext>
          </c:extLst>
        </c:ser>
        <c:ser>
          <c:idx val="4"/>
          <c:order val="4"/>
          <c:tx>
            <c:strRef>
              <c:f>地域別人口!$G$1</c:f>
              <c:strCache>
                <c:ptCount val="1"/>
                <c:pt idx="0">
                  <c:v>澤(沢)根町</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地域別人口!$B$2:$B$46</c:f>
              <c:numCache>
                <c:formatCode>General</c:formatCode>
                <c:ptCount val="45"/>
                <c:pt idx="0">
                  <c:v>1877</c:v>
                </c:pt>
                <c:pt idx="1">
                  <c:v>1878</c:v>
                </c:pt>
                <c:pt idx="2">
                  <c:v>1879</c:v>
                </c:pt>
                <c:pt idx="3">
                  <c:v>1880</c:v>
                </c:pt>
                <c:pt idx="4">
                  <c:v>1881</c:v>
                </c:pt>
                <c:pt idx="5">
                  <c:v>1882</c:v>
                </c:pt>
                <c:pt idx="6">
                  <c:v>1883</c:v>
                </c:pt>
                <c:pt idx="7">
                  <c:v>1884</c:v>
                </c:pt>
                <c:pt idx="8">
                  <c:v>1885</c:v>
                </c:pt>
                <c:pt idx="9">
                  <c:v>1886</c:v>
                </c:pt>
                <c:pt idx="10">
                  <c:v>1887</c:v>
                </c:pt>
                <c:pt idx="11">
                  <c:v>1888</c:v>
                </c:pt>
                <c:pt idx="12">
                  <c:v>1889</c:v>
                </c:pt>
                <c:pt idx="13">
                  <c:v>1890</c:v>
                </c:pt>
                <c:pt idx="14">
                  <c:v>1891</c:v>
                </c:pt>
                <c:pt idx="15">
                  <c:v>1892</c:v>
                </c:pt>
                <c:pt idx="16">
                  <c:v>1893</c:v>
                </c:pt>
                <c:pt idx="17">
                  <c:v>1894</c:v>
                </c:pt>
                <c:pt idx="18">
                  <c:v>1895</c:v>
                </c:pt>
                <c:pt idx="19">
                  <c:v>1896</c:v>
                </c:pt>
                <c:pt idx="20">
                  <c:v>1897</c:v>
                </c:pt>
                <c:pt idx="21">
                  <c:v>1898</c:v>
                </c:pt>
                <c:pt idx="22">
                  <c:v>1899</c:v>
                </c:pt>
                <c:pt idx="23">
                  <c:v>1900</c:v>
                </c:pt>
                <c:pt idx="24">
                  <c:v>1901</c:v>
                </c:pt>
                <c:pt idx="25">
                  <c:v>1902</c:v>
                </c:pt>
                <c:pt idx="26">
                  <c:v>1903</c:v>
                </c:pt>
                <c:pt idx="27">
                  <c:v>1904</c:v>
                </c:pt>
                <c:pt idx="28">
                  <c:v>1905</c:v>
                </c:pt>
                <c:pt idx="29">
                  <c:v>1906</c:v>
                </c:pt>
                <c:pt idx="30">
                  <c:v>1907</c:v>
                </c:pt>
                <c:pt idx="31">
                  <c:v>1908</c:v>
                </c:pt>
                <c:pt idx="32">
                  <c:v>1909</c:v>
                </c:pt>
                <c:pt idx="33">
                  <c:v>1910</c:v>
                </c:pt>
                <c:pt idx="34">
                  <c:v>1911</c:v>
                </c:pt>
                <c:pt idx="35">
                  <c:v>1912</c:v>
                </c:pt>
                <c:pt idx="36">
                  <c:v>1913</c:v>
                </c:pt>
                <c:pt idx="37">
                  <c:v>1914</c:v>
                </c:pt>
                <c:pt idx="38">
                  <c:v>1915</c:v>
                </c:pt>
                <c:pt idx="39">
                  <c:v>1916</c:v>
                </c:pt>
                <c:pt idx="40">
                  <c:v>1917</c:v>
                </c:pt>
                <c:pt idx="41">
                  <c:v>1918</c:v>
                </c:pt>
                <c:pt idx="42">
                  <c:v>1919</c:v>
                </c:pt>
                <c:pt idx="43">
                  <c:v>1920</c:v>
                </c:pt>
                <c:pt idx="44">
                  <c:v>1921</c:v>
                </c:pt>
              </c:numCache>
            </c:numRef>
          </c:cat>
          <c:val>
            <c:numRef>
              <c:f>地域別人口!$G$2:$G$46</c:f>
              <c:numCache>
                <c:formatCode>General</c:formatCode>
                <c:ptCount val="45"/>
                <c:pt idx="17">
                  <c:v>1615</c:v>
                </c:pt>
                <c:pt idx="21">
                  <c:v>1645</c:v>
                </c:pt>
                <c:pt idx="26">
                  <c:v>3738</c:v>
                </c:pt>
                <c:pt idx="31">
                  <c:v>3751</c:v>
                </c:pt>
                <c:pt idx="33">
                  <c:v>3890</c:v>
                </c:pt>
                <c:pt idx="34">
                  <c:v>3997</c:v>
                </c:pt>
                <c:pt idx="43">
                  <c:v>3536</c:v>
                </c:pt>
              </c:numCache>
            </c:numRef>
          </c:val>
          <c:smooth val="0"/>
          <c:extLst>
            <c:ext xmlns:c16="http://schemas.microsoft.com/office/drawing/2014/chart" uri="{C3380CC4-5D6E-409C-BE32-E72D297353CC}">
              <c16:uniqueId val="{00000004-5B74-4B2C-BBFE-C96608CC078F}"/>
            </c:ext>
          </c:extLst>
        </c:ser>
        <c:ser>
          <c:idx val="5"/>
          <c:order val="5"/>
          <c:tx>
            <c:strRef>
              <c:f>地域別人口!$H$1</c:f>
              <c:strCache>
                <c:ptCount val="1"/>
                <c:pt idx="0">
                  <c:v>相川町</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地域別人口!$B$2:$B$46</c:f>
              <c:numCache>
                <c:formatCode>General</c:formatCode>
                <c:ptCount val="45"/>
                <c:pt idx="0">
                  <c:v>1877</c:v>
                </c:pt>
                <c:pt idx="1">
                  <c:v>1878</c:v>
                </c:pt>
                <c:pt idx="2">
                  <c:v>1879</c:v>
                </c:pt>
                <c:pt idx="3">
                  <c:v>1880</c:v>
                </c:pt>
                <c:pt idx="4">
                  <c:v>1881</c:v>
                </c:pt>
                <c:pt idx="5">
                  <c:v>1882</c:v>
                </c:pt>
                <c:pt idx="6">
                  <c:v>1883</c:v>
                </c:pt>
                <c:pt idx="7">
                  <c:v>1884</c:v>
                </c:pt>
                <c:pt idx="8">
                  <c:v>1885</c:v>
                </c:pt>
                <c:pt idx="9">
                  <c:v>1886</c:v>
                </c:pt>
                <c:pt idx="10">
                  <c:v>1887</c:v>
                </c:pt>
                <c:pt idx="11">
                  <c:v>1888</c:v>
                </c:pt>
                <c:pt idx="12">
                  <c:v>1889</c:v>
                </c:pt>
                <c:pt idx="13">
                  <c:v>1890</c:v>
                </c:pt>
                <c:pt idx="14">
                  <c:v>1891</c:v>
                </c:pt>
                <c:pt idx="15">
                  <c:v>1892</c:v>
                </c:pt>
                <c:pt idx="16">
                  <c:v>1893</c:v>
                </c:pt>
                <c:pt idx="17">
                  <c:v>1894</c:v>
                </c:pt>
                <c:pt idx="18">
                  <c:v>1895</c:v>
                </c:pt>
                <c:pt idx="19">
                  <c:v>1896</c:v>
                </c:pt>
                <c:pt idx="20">
                  <c:v>1897</c:v>
                </c:pt>
                <c:pt idx="21">
                  <c:v>1898</c:v>
                </c:pt>
                <c:pt idx="22">
                  <c:v>1899</c:v>
                </c:pt>
                <c:pt idx="23">
                  <c:v>1900</c:v>
                </c:pt>
                <c:pt idx="24">
                  <c:v>1901</c:v>
                </c:pt>
                <c:pt idx="25">
                  <c:v>1902</c:v>
                </c:pt>
                <c:pt idx="26">
                  <c:v>1903</c:v>
                </c:pt>
                <c:pt idx="27">
                  <c:v>1904</c:v>
                </c:pt>
                <c:pt idx="28">
                  <c:v>1905</c:v>
                </c:pt>
                <c:pt idx="29">
                  <c:v>1906</c:v>
                </c:pt>
                <c:pt idx="30">
                  <c:v>1907</c:v>
                </c:pt>
                <c:pt idx="31">
                  <c:v>1908</c:v>
                </c:pt>
                <c:pt idx="32">
                  <c:v>1909</c:v>
                </c:pt>
                <c:pt idx="33">
                  <c:v>1910</c:v>
                </c:pt>
                <c:pt idx="34">
                  <c:v>1911</c:v>
                </c:pt>
                <c:pt idx="35">
                  <c:v>1912</c:v>
                </c:pt>
                <c:pt idx="36">
                  <c:v>1913</c:v>
                </c:pt>
                <c:pt idx="37">
                  <c:v>1914</c:v>
                </c:pt>
                <c:pt idx="38">
                  <c:v>1915</c:v>
                </c:pt>
                <c:pt idx="39">
                  <c:v>1916</c:v>
                </c:pt>
                <c:pt idx="40">
                  <c:v>1917</c:v>
                </c:pt>
                <c:pt idx="41">
                  <c:v>1918</c:v>
                </c:pt>
                <c:pt idx="42">
                  <c:v>1919</c:v>
                </c:pt>
                <c:pt idx="43">
                  <c:v>1920</c:v>
                </c:pt>
                <c:pt idx="44">
                  <c:v>1921</c:v>
                </c:pt>
              </c:numCache>
            </c:numRef>
          </c:cat>
          <c:val>
            <c:numRef>
              <c:f>地域別人口!$H$2:$H$46</c:f>
              <c:numCache>
                <c:formatCode>General</c:formatCode>
                <c:ptCount val="45"/>
                <c:pt idx="3">
                  <c:v>12593</c:v>
                </c:pt>
                <c:pt idx="4">
                  <c:v>12217</c:v>
                </c:pt>
                <c:pt idx="9">
                  <c:v>10704</c:v>
                </c:pt>
                <c:pt idx="10">
                  <c:v>11431</c:v>
                </c:pt>
                <c:pt idx="11">
                  <c:v>11552</c:v>
                </c:pt>
                <c:pt idx="12">
                  <c:v>13249</c:v>
                </c:pt>
                <c:pt idx="13">
                  <c:v>12592</c:v>
                </c:pt>
                <c:pt idx="14">
                  <c:v>13853</c:v>
                </c:pt>
                <c:pt idx="15">
                  <c:v>14080</c:v>
                </c:pt>
                <c:pt idx="16">
                  <c:v>15591</c:v>
                </c:pt>
                <c:pt idx="17">
                  <c:v>15289</c:v>
                </c:pt>
                <c:pt idx="18">
                  <c:v>15472</c:v>
                </c:pt>
                <c:pt idx="19">
                  <c:v>14274</c:v>
                </c:pt>
                <c:pt idx="20">
                  <c:v>14543</c:v>
                </c:pt>
                <c:pt idx="21">
                  <c:v>12499</c:v>
                </c:pt>
                <c:pt idx="26">
                  <c:v>10930</c:v>
                </c:pt>
                <c:pt idx="31">
                  <c:v>10849</c:v>
                </c:pt>
                <c:pt idx="33">
                  <c:v>11082</c:v>
                </c:pt>
                <c:pt idx="34">
                  <c:v>11263</c:v>
                </c:pt>
                <c:pt idx="35">
                  <c:v>11414</c:v>
                </c:pt>
                <c:pt idx="37">
                  <c:v>10849</c:v>
                </c:pt>
                <c:pt idx="43">
                  <c:v>7418</c:v>
                </c:pt>
              </c:numCache>
            </c:numRef>
          </c:val>
          <c:smooth val="0"/>
          <c:extLst>
            <c:ext xmlns:c16="http://schemas.microsoft.com/office/drawing/2014/chart" uri="{C3380CC4-5D6E-409C-BE32-E72D297353CC}">
              <c16:uniqueId val="{00000005-5B74-4B2C-BBFE-C96608CC078F}"/>
            </c:ext>
          </c:extLst>
        </c:ser>
        <c:ser>
          <c:idx val="6"/>
          <c:order val="6"/>
          <c:tx>
            <c:strRef>
              <c:f>地域別人口!$I$1</c:f>
              <c:strCache>
                <c:ptCount val="1"/>
                <c:pt idx="0">
                  <c:v>吉井村</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地域別人口!$B$2:$B$46</c:f>
              <c:numCache>
                <c:formatCode>General</c:formatCode>
                <c:ptCount val="45"/>
                <c:pt idx="0">
                  <c:v>1877</c:v>
                </c:pt>
                <c:pt idx="1">
                  <c:v>1878</c:v>
                </c:pt>
                <c:pt idx="2">
                  <c:v>1879</c:v>
                </c:pt>
                <c:pt idx="3">
                  <c:v>1880</c:v>
                </c:pt>
                <c:pt idx="4">
                  <c:v>1881</c:v>
                </c:pt>
                <c:pt idx="5">
                  <c:v>1882</c:v>
                </c:pt>
                <c:pt idx="6">
                  <c:v>1883</c:v>
                </c:pt>
                <c:pt idx="7">
                  <c:v>1884</c:v>
                </c:pt>
                <c:pt idx="8">
                  <c:v>1885</c:v>
                </c:pt>
                <c:pt idx="9">
                  <c:v>1886</c:v>
                </c:pt>
                <c:pt idx="10">
                  <c:v>1887</c:v>
                </c:pt>
                <c:pt idx="11">
                  <c:v>1888</c:v>
                </c:pt>
                <c:pt idx="12">
                  <c:v>1889</c:v>
                </c:pt>
                <c:pt idx="13">
                  <c:v>1890</c:v>
                </c:pt>
                <c:pt idx="14">
                  <c:v>1891</c:v>
                </c:pt>
                <c:pt idx="15">
                  <c:v>1892</c:v>
                </c:pt>
                <c:pt idx="16">
                  <c:v>1893</c:v>
                </c:pt>
                <c:pt idx="17">
                  <c:v>1894</c:v>
                </c:pt>
                <c:pt idx="18">
                  <c:v>1895</c:v>
                </c:pt>
                <c:pt idx="19">
                  <c:v>1896</c:v>
                </c:pt>
                <c:pt idx="20">
                  <c:v>1897</c:v>
                </c:pt>
                <c:pt idx="21">
                  <c:v>1898</c:v>
                </c:pt>
                <c:pt idx="22">
                  <c:v>1899</c:v>
                </c:pt>
                <c:pt idx="23">
                  <c:v>1900</c:v>
                </c:pt>
                <c:pt idx="24">
                  <c:v>1901</c:v>
                </c:pt>
                <c:pt idx="25">
                  <c:v>1902</c:v>
                </c:pt>
                <c:pt idx="26">
                  <c:v>1903</c:v>
                </c:pt>
                <c:pt idx="27">
                  <c:v>1904</c:v>
                </c:pt>
                <c:pt idx="28">
                  <c:v>1905</c:v>
                </c:pt>
                <c:pt idx="29">
                  <c:v>1906</c:v>
                </c:pt>
                <c:pt idx="30">
                  <c:v>1907</c:v>
                </c:pt>
                <c:pt idx="31">
                  <c:v>1908</c:v>
                </c:pt>
                <c:pt idx="32">
                  <c:v>1909</c:v>
                </c:pt>
                <c:pt idx="33">
                  <c:v>1910</c:v>
                </c:pt>
                <c:pt idx="34">
                  <c:v>1911</c:v>
                </c:pt>
                <c:pt idx="35">
                  <c:v>1912</c:v>
                </c:pt>
                <c:pt idx="36">
                  <c:v>1913</c:v>
                </c:pt>
                <c:pt idx="37">
                  <c:v>1914</c:v>
                </c:pt>
                <c:pt idx="38">
                  <c:v>1915</c:v>
                </c:pt>
                <c:pt idx="39">
                  <c:v>1916</c:v>
                </c:pt>
                <c:pt idx="40">
                  <c:v>1917</c:v>
                </c:pt>
                <c:pt idx="41">
                  <c:v>1918</c:v>
                </c:pt>
                <c:pt idx="42">
                  <c:v>1919</c:v>
                </c:pt>
                <c:pt idx="43">
                  <c:v>1920</c:v>
                </c:pt>
                <c:pt idx="44">
                  <c:v>1921</c:v>
                </c:pt>
              </c:numCache>
            </c:numRef>
          </c:cat>
          <c:val>
            <c:numRef>
              <c:f>地域別人口!$I$2:$I$46</c:f>
              <c:numCache>
                <c:formatCode>General</c:formatCode>
                <c:ptCount val="45"/>
                <c:pt idx="11">
                  <c:v>2569</c:v>
                </c:pt>
                <c:pt idx="17">
                  <c:v>2513</c:v>
                </c:pt>
                <c:pt idx="21">
                  <c:v>2549</c:v>
                </c:pt>
                <c:pt idx="26">
                  <c:v>4595</c:v>
                </c:pt>
                <c:pt idx="31">
                  <c:v>4600</c:v>
                </c:pt>
                <c:pt idx="33">
                  <c:v>4648</c:v>
                </c:pt>
                <c:pt idx="34">
                  <c:v>4681</c:v>
                </c:pt>
                <c:pt idx="43">
                  <c:v>4336</c:v>
                </c:pt>
              </c:numCache>
            </c:numRef>
          </c:val>
          <c:smooth val="0"/>
          <c:extLst>
            <c:ext xmlns:c16="http://schemas.microsoft.com/office/drawing/2014/chart" uri="{C3380CC4-5D6E-409C-BE32-E72D297353CC}">
              <c16:uniqueId val="{00000006-5B74-4B2C-BBFE-C96608CC078F}"/>
            </c:ext>
          </c:extLst>
        </c:ser>
        <c:ser>
          <c:idx val="7"/>
          <c:order val="7"/>
          <c:tx>
            <c:strRef>
              <c:f>地域別人口!$J$1</c:f>
              <c:strCache>
                <c:ptCount val="1"/>
                <c:pt idx="0">
                  <c:v>新穂町</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numRef>
              <c:f>地域別人口!$B$2:$B$46</c:f>
              <c:numCache>
                <c:formatCode>General</c:formatCode>
                <c:ptCount val="45"/>
                <c:pt idx="0">
                  <c:v>1877</c:v>
                </c:pt>
                <c:pt idx="1">
                  <c:v>1878</c:v>
                </c:pt>
                <c:pt idx="2">
                  <c:v>1879</c:v>
                </c:pt>
                <c:pt idx="3">
                  <c:v>1880</c:v>
                </c:pt>
                <c:pt idx="4">
                  <c:v>1881</c:v>
                </c:pt>
                <c:pt idx="5">
                  <c:v>1882</c:v>
                </c:pt>
                <c:pt idx="6">
                  <c:v>1883</c:v>
                </c:pt>
                <c:pt idx="7">
                  <c:v>1884</c:v>
                </c:pt>
                <c:pt idx="8">
                  <c:v>1885</c:v>
                </c:pt>
                <c:pt idx="9">
                  <c:v>1886</c:v>
                </c:pt>
                <c:pt idx="10">
                  <c:v>1887</c:v>
                </c:pt>
                <c:pt idx="11">
                  <c:v>1888</c:v>
                </c:pt>
                <c:pt idx="12">
                  <c:v>1889</c:v>
                </c:pt>
                <c:pt idx="13">
                  <c:v>1890</c:v>
                </c:pt>
                <c:pt idx="14">
                  <c:v>1891</c:v>
                </c:pt>
                <c:pt idx="15">
                  <c:v>1892</c:v>
                </c:pt>
                <c:pt idx="16">
                  <c:v>1893</c:v>
                </c:pt>
                <c:pt idx="17">
                  <c:v>1894</c:v>
                </c:pt>
                <c:pt idx="18">
                  <c:v>1895</c:v>
                </c:pt>
                <c:pt idx="19">
                  <c:v>1896</c:v>
                </c:pt>
                <c:pt idx="20">
                  <c:v>1897</c:v>
                </c:pt>
                <c:pt idx="21">
                  <c:v>1898</c:v>
                </c:pt>
                <c:pt idx="22">
                  <c:v>1899</c:v>
                </c:pt>
                <c:pt idx="23">
                  <c:v>1900</c:v>
                </c:pt>
                <c:pt idx="24">
                  <c:v>1901</c:v>
                </c:pt>
                <c:pt idx="25">
                  <c:v>1902</c:v>
                </c:pt>
                <c:pt idx="26">
                  <c:v>1903</c:v>
                </c:pt>
                <c:pt idx="27">
                  <c:v>1904</c:v>
                </c:pt>
                <c:pt idx="28">
                  <c:v>1905</c:v>
                </c:pt>
                <c:pt idx="29">
                  <c:v>1906</c:v>
                </c:pt>
                <c:pt idx="30">
                  <c:v>1907</c:v>
                </c:pt>
                <c:pt idx="31">
                  <c:v>1908</c:v>
                </c:pt>
                <c:pt idx="32">
                  <c:v>1909</c:v>
                </c:pt>
                <c:pt idx="33">
                  <c:v>1910</c:v>
                </c:pt>
                <c:pt idx="34">
                  <c:v>1911</c:v>
                </c:pt>
                <c:pt idx="35">
                  <c:v>1912</c:v>
                </c:pt>
                <c:pt idx="36">
                  <c:v>1913</c:v>
                </c:pt>
                <c:pt idx="37">
                  <c:v>1914</c:v>
                </c:pt>
                <c:pt idx="38">
                  <c:v>1915</c:v>
                </c:pt>
                <c:pt idx="39">
                  <c:v>1916</c:v>
                </c:pt>
                <c:pt idx="40">
                  <c:v>1917</c:v>
                </c:pt>
                <c:pt idx="41">
                  <c:v>1918</c:v>
                </c:pt>
                <c:pt idx="42">
                  <c:v>1919</c:v>
                </c:pt>
                <c:pt idx="43">
                  <c:v>1920</c:v>
                </c:pt>
                <c:pt idx="44">
                  <c:v>1921</c:v>
                </c:pt>
              </c:numCache>
            </c:numRef>
          </c:cat>
          <c:val>
            <c:numRef>
              <c:f>地域別人口!$J$2:$J$46</c:f>
              <c:numCache>
                <c:formatCode>General</c:formatCode>
                <c:ptCount val="45"/>
                <c:pt idx="11">
                  <c:v>3408</c:v>
                </c:pt>
                <c:pt idx="17">
                  <c:v>3557</c:v>
                </c:pt>
                <c:pt idx="21">
                  <c:v>3567</c:v>
                </c:pt>
                <c:pt idx="26">
                  <c:v>7456</c:v>
                </c:pt>
                <c:pt idx="31">
                  <c:v>7536</c:v>
                </c:pt>
                <c:pt idx="33">
                  <c:v>7466</c:v>
                </c:pt>
                <c:pt idx="34">
                  <c:v>7442</c:v>
                </c:pt>
                <c:pt idx="43">
                  <c:v>7060</c:v>
                </c:pt>
              </c:numCache>
            </c:numRef>
          </c:val>
          <c:smooth val="0"/>
          <c:extLst>
            <c:ext xmlns:c16="http://schemas.microsoft.com/office/drawing/2014/chart" uri="{C3380CC4-5D6E-409C-BE32-E72D297353CC}">
              <c16:uniqueId val="{00000007-5B74-4B2C-BBFE-C96608CC078F}"/>
            </c:ext>
          </c:extLst>
        </c:ser>
        <c:ser>
          <c:idx val="9"/>
          <c:order val="8"/>
          <c:tx>
            <c:strRef>
              <c:f>地域別人口!$L$1</c:f>
              <c:strCache>
                <c:ptCount val="1"/>
                <c:pt idx="0">
                  <c:v>小木町</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numRef>
              <c:f>地域別人口!$B$2:$B$46</c:f>
              <c:numCache>
                <c:formatCode>General</c:formatCode>
                <c:ptCount val="45"/>
                <c:pt idx="0">
                  <c:v>1877</c:v>
                </c:pt>
                <c:pt idx="1">
                  <c:v>1878</c:v>
                </c:pt>
                <c:pt idx="2">
                  <c:v>1879</c:v>
                </c:pt>
                <c:pt idx="3">
                  <c:v>1880</c:v>
                </c:pt>
                <c:pt idx="4">
                  <c:v>1881</c:v>
                </c:pt>
                <c:pt idx="5">
                  <c:v>1882</c:v>
                </c:pt>
                <c:pt idx="6">
                  <c:v>1883</c:v>
                </c:pt>
                <c:pt idx="7">
                  <c:v>1884</c:v>
                </c:pt>
                <c:pt idx="8">
                  <c:v>1885</c:v>
                </c:pt>
                <c:pt idx="9">
                  <c:v>1886</c:v>
                </c:pt>
                <c:pt idx="10">
                  <c:v>1887</c:v>
                </c:pt>
                <c:pt idx="11">
                  <c:v>1888</c:v>
                </c:pt>
                <c:pt idx="12">
                  <c:v>1889</c:v>
                </c:pt>
                <c:pt idx="13">
                  <c:v>1890</c:v>
                </c:pt>
                <c:pt idx="14">
                  <c:v>1891</c:v>
                </c:pt>
                <c:pt idx="15">
                  <c:v>1892</c:v>
                </c:pt>
                <c:pt idx="16">
                  <c:v>1893</c:v>
                </c:pt>
                <c:pt idx="17">
                  <c:v>1894</c:v>
                </c:pt>
                <c:pt idx="18">
                  <c:v>1895</c:v>
                </c:pt>
                <c:pt idx="19">
                  <c:v>1896</c:v>
                </c:pt>
                <c:pt idx="20">
                  <c:v>1897</c:v>
                </c:pt>
                <c:pt idx="21">
                  <c:v>1898</c:v>
                </c:pt>
                <c:pt idx="22">
                  <c:v>1899</c:v>
                </c:pt>
                <c:pt idx="23">
                  <c:v>1900</c:v>
                </c:pt>
                <c:pt idx="24">
                  <c:v>1901</c:v>
                </c:pt>
                <c:pt idx="25">
                  <c:v>1902</c:v>
                </c:pt>
                <c:pt idx="26">
                  <c:v>1903</c:v>
                </c:pt>
                <c:pt idx="27">
                  <c:v>1904</c:v>
                </c:pt>
                <c:pt idx="28">
                  <c:v>1905</c:v>
                </c:pt>
                <c:pt idx="29">
                  <c:v>1906</c:v>
                </c:pt>
                <c:pt idx="30">
                  <c:v>1907</c:v>
                </c:pt>
                <c:pt idx="31">
                  <c:v>1908</c:v>
                </c:pt>
                <c:pt idx="32">
                  <c:v>1909</c:v>
                </c:pt>
                <c:pt idx="33">
                  <c:v>1910</c:v>
                </c:pt>
                <c:pt idx="34">
                  <c:v>1911</c:v>
                </c:pt>
                <c:pt idx="35">
                  <c:v>1912</c:v>
                </c:pt>
                <c:pt idx="36">
                  <c:v>1913</c:v>
                </c:pt>
                <c:pt idx="37">
                  <c:v>1914</c:v>
                </c:pt>
                <c:pt idx="38">
                  <c:v>1915</c:v>
                </c:pt>
                <c:pt idx="39">
                  <c:v>1916</c:v>
                </c:pt>
                <c:pt idx="40">
                  <c:v>1917</c:v>
                </c:pt>
                <c:pt idx="41">
                  <c:v>1918</c:v>
                </c:pt>
                <c:pt idx="42">
                  <c:v>1919</c:v>
                </c:pt>
                <c:pt idx="43">
                  <c:v>1920</c:v>
                </c:pt>
                <c:pt idx="44">
                  <c:v>1921</c:v>
                </c:pt>
              </c:numCache>
            </c:numRef>
          </c:cat>
          <c:val>
            <c:numRef>
              <c:f>地域別人口!$L$2:$L$46</c:f>
              <c:numCache>
                <c:formatCode>General</c:formatCode>
                <c:ptCount val="45"/>
                <c:pt idx="17">
                  <c:v>4342</c:v>
                </c:pt>
                <c:pt idx="21">
                  <c:v>4465</c:v>
                </c:pt>
                <c:pt idx="26">
                  <c:v>6558</c:v>
                </c:pt>
                <c:pt idx="31">
                  <c:v>6888</c:v>
                </c:pt>
                <c:pt idx="33">
                  <c:v>6211</c:v>
                </c:pt>
                <c:pt idx="34">
                  <c:v>6275</c:v>
                </c:pt>
                <c:pt idx="43">
                  <c:v>5785</c:v>
                </c:pt>
              </c:numCache>
            </c:numRef>
          </c:val>
          <c:smooth val="0"/>
          <c:extLst>
            <c:ext xmlns:c16="http://schemas.microsoft.com/office/drawing/2014/chart" uri="{C3380CC4-5D6E-409C-BE32-E72D297353CC}">
              <c16:uniqueId val="{00000009-5B74-4B2C-BBFE-C96608CC078F}"/>
            </c:ext>
          </c:extLst>
        </c:ser>
        <c:dLbls>
          <c:showLegendKey val="0"/>
          <c:showVal val="0"/>
          <c:showCatName val="0"/>
          <c:showSerName val="0"/>
          <c:showPercent val="0"/>
          <c:showBubbleSize val="0"/>
        </c:dLbls>
        <c:marker val="1"/>
        <c:smooth val="0"/>
        <c:axId val="1214149295"/>
        <c:axId val="1214152175"/>
      </c:lineChart>
      <c:lineChart>
        <c:grouping val="standard"/>
        <c:varyColors val="0"/>
        <c:ser>
          <c:idx val="0"/>
          <c:order val="0"/>
          <c:tx>
            <c:strRef>
              <c:f>地域別人口!$C$1</c:f>
              <c:strCache>
                <c:ptCount val="1"/>
                <c:pt idx="0">
                  <c:v>佐渡全域</c:v>
                </c:pt>
              </c:strCache>
            </c:strRef>
          </c:tx>
          <c:spPr>
            <a:ln w="28575" cap="rnd">
              <a:solidFill>
                <a:schemeClr val="accent1"/>
              </a:solidFill>
              <a:round/>
            </a:ln>
            <a:effectLst/>
          </c:spPr>
          <c:marker>
            <c:symbol val="square"/>
            <c:size val="5"/>
            <c:spPr>
              <a:solidFill>
                <a:schemeClr val="accent1"/>
              </a:solidFill>
              <a:ln w="9525">
                <a:solidFill>
                  <a:schemeClr val="accent1"/>
                </a:solidFill>
                <a:miter lim="800000"/>
              </a:ln>
              <a:effectLst/>
            </c:spPr>
          </c:marker>
          <c:cat>
            <c:numRef>
              <c:f>地域別人口!$B$2:$B$46</c:f>
              <c:numCache>
                <c:formatCode>General</c:formatCode>
                <c:ptCount val="45"/>
                <c:pt idx="0">
                  <c:v>1877</c:v>
                </c:pt>
                <c:pt idx="1">
                  <c:v>1878</c:v>
                </c:pt>
                <c:pt idx="2">
                  <c:v>1879</c:v>
                </c:pt>
                <c:pt idx="3">
                  <c:v>1880</c:v>
                </c:pt>
                <c:pt idx="4">
                  <c:v>1881</c:v>
                </c:pt>
                <c:pt idx="5">
                  <c:v>1882</c:v>
                </c:pt>
                <c:pt idx="6">
                  <c:v>1883</c:v>
                </c:pt>
                <c:pt idx="7">
                  <c:v>1884</c:v>
                </c:pt>
                <c:pt idx="8">
                  <c:v>1885</c:v>
                </c:pt>
                <c:pt idx="9">
                  <c:v>1886</c:v>
                </c:pt>
                <c:pt idx="10">
                  <c:v>1887</c:v>
                </c:pt>
                <c:pt idx="11">
                  <c:v>1888</c:v>
                </c:pt>
                <c:pt idx="12">
                  <c:v>1889</c:v>
                </c:pt>
                <c:pt idx="13">
                  <c:v>1890</c:v>
                </c:pt>
                <c:pt idx="14">
                  <c:v>1891</c:v>
                </c:pt>
                <c:pt idx="15">
                  <c:v>1892</c:v>
                </c:pt>
                <c:pt idx="16">
                  <c:v>1893</c:v>
                </c:pt>
                <c:pt idx="17">
                  <c:v>1894</c:v>
                </c:pt>
                <c:pt idx="18">
                  <c:v>1895</c:v>
                </c:pt>
                <c:pt idx="19">
                  <c:v>1896</c:v>
                </c:pt>
                <c:pt idx="20">
                  <c:v>1897</c:v>
                </c:pt>
                <c:pt idx="21">
                  <c:v>1898</c:v>
                </c:pt>
                <c:pt idx="22">
                  <c:v>1899</c:v>
                </c:pt>
                <c:pt idx="23">
                  <c:v>1900</c:v>
                </c:pt>
                <c:pt idx="24">
                  <c:v>1901</c:v>
                </c:pt>
                <c:pt idx="25">
                  <c:v>1902</c:v>
                </c:pt>
                <c:pt idx="26">
                  <c:v>1903</c:v>
                </c:pt>
                <c:pt idx="27">
                  <c:v>1904</c:v>
                </c:pt>
                <c:pt idx="28">
                  <c:v>1905</c:v>
                </c:pt>
                <c:pt idx="29">
                  <c:v>1906</c:v>
                </c:pt>
                <c:pt idx="30">
                  <c:v>1907</c:v>
                </c:pt>
                <c:pt idx="31">
                  <c:v>1908</c:v>
                </c:pt>
                <c:pt idx="32">
                  <c:v>1909</c:v>
                </c:pt>
                <c:pt idx="33">
                  <c:v>1910</c:v>
                </c:pt>
                <c:pt idx="34">
                  <c:v>1911</c:v>
                </c:pt>
                <c:pt idx="35">
                  <c:v>1912</c:v>
                </c:pt>
                <c:pt idx="36">
                  <c:v>1913</c:v>
                </c:pt>
                <c:pt idx="37">
                  <c:v>1914</c:v>
                </c:pt>
                <c:pt idx="38">
                  <c:v>1915</c:v>
                </c:pt>
                <c:pt idx="39">
                  <c:v>1916</c:v>
                </c:pt>
                <c:pt idx="40">
                  <c:v>1917</c:v>
                </c:pt>
                <c:pt idx="41">
                  <c:v>1918</c:v>
                </c:pt>
                <c:pt idx="42">
                  <c:v>1919</c:v>
                </c:pt>
                <c:pt idx="43">
                  <c:v>1920</c:v>
                </c:pt>
                <c:pt idx="44">
                  <c:v>1921</c:v>
                </c:pt>
              </c:numCache>
            </c:numRef>
          </c:cat>
          <c:val>
            <c:numRef>
              <c:f>地域別人口!$C$2:$C$46</c:f>
              <c:numCache>
                <c:formatCode>General</c:formatCode>
                <c:ptCount val="45"/>
                <c:pt idx="2">
                  <c:v>106143</c:v>
                </c:pt>
                <c:pt idx="3">
                  <c:v>105496</c:v>
                </c:pt>
                <c:pt idx="4">
                  <c:v>105842</c:v>
                </c:pt>
                <c:pt idx="5">
                  <c:v>105241</c:v>
                </c:pt>
                <c:pt idx="6">
                  <c:v>106280</c:v>
                </c:pt>
                <c:pt idx="7">
                  <c:v>106937</c:v>
                </c:pt>
                <c:pt idx="8">
                  <c:v>106937</c:v>
                </c:pt>
                <c:pt idx="9">
                  <c:v>107833</c:v>
                </c:pt>
                <c:pt idx="10">
                  <c:v>109643</c:v>
                </c:pt>
                <c:pt idx="11">
                  <c:v>110630</c:v>
                </c:pt>
                <c:pt idx="12">
                  <c:v>110902</c:v>
                </c:pt>
                <c:pt idx="13">
                  <c:v>111633</c:v>
                </c:pt>
                <c:pt idx="14">
                  <c:v>111744</c:v>
                </c:pt>
                <c:pt idx="15">
                  <c:v>112117</c:v>
                </c:pt>
                <c:pt idx="16">
                  <c:v>112290</c:v>
                </c:pt>
                <c:pt idx="17">
                  <c:v>113785</c:v>
                </c:pt>
                <c:pt idx="18">
                  <c:v>113439</c:v>
                </c:pt>
                <c:pt idx="19">
                  <c:v>113719</c:v>
                </c:pt>
                <c:pt idx="20">
                  <c:v>114253</c:v>
                </c:pt>
                <c:pt idx="21">
                  <c:v>112738</c:v>
                </c:pt>
                <c:pt idx="23">
                  <c:v>114816</c:v>
                </c:pt>
                <c:pt idx="25">
                  <c:v>111460</c:v>
                </c:pt>
                <c:pt idx="26">
                  <c:v>113572</c:v>
                </c:pt>
                <c:pt idx="27">
                  <c:v>111082</c:v>
                </c:pt>
                <c:pt idx="28">
                  <c:v>111020</c:v>
                </c:pt>
                <c:pt idx="29">
                  <c:v>111528</c:v>
                </c:pt>
                <c:pt idx="30">
                  <c:v>113025</c:v>
                </c:pt>
                <c:pt idx="31">
                  <c:v>113391</c:v>
                </c:pt>
                <c:pt idx="32">
                  <c:v>113779</c:v>
                </c:pt>
                <c:pt idx="33">
                  <c:v>114279</c:v>
                </c:pt>
                <c:pt idx="34">
                  <c:v>115727</c:v>
                </c:pt>
                <c:pt idx="35">
                  <c:v>117230</c:v>
                </c:pt>
                <c:pt idx="36">
                  <c:v>116811</c:v>
                </c:pt>
                <c:pt idx="37">
                  <c:v>116938</c:v>
                </c:pt>
                <c:pt idx="38">
                  <c:v>117446</c:v>
                </c:pt>
                <c:pt idx="39">
                  <c:v>117300</c:v>
                </c:pt>
                <c:pt idx="40">
                  <c:v>117274</c:v>
                </c:pt>
                <c:pt idx="41">
                  <c:v>116271</c:v>
                </c:pt>
                <c:pt idx="42">
                  <c:v>115301</c:v>
                </c:pt>
                <c:pt idx="43">
                  <c:v>110753</c:v>
                </c:pt>
                <c:pt idx="44">
                  <c:v>112170</c:v>
                </c:pt>
              </c:numCache>
            </c:numRef>
          </c:val>
          <c:smooth val="0"/>
          <c:extLst>
            <c:ext xmlns:c16="http://schemas.microsoft.com/office/drawing/2014/chart" uri="{C3380CC4-5D6E-409C-BE32-E72D297353CC}">
              <c16:uniqueId val="{00000000-5B74-4B2C-BBFE-C96608CC078F}"/>
            </c:ext>
          </c:extLst>
        </c:ser>
        <c:dLbls>
          <c:showLegendKey val="0"/>
          <c:showVal val="0"/>
          <c:showCatName val="0"/>
          <c:showSerName val="0"/>
          <c:showPercent val="0"/>
          <c:showBubbleSize val="0"/>
        </c:dLbls>
        <c:marker val="1"/>
        <c:smooth val="0"/>
        <c:axId val="1207502479"/>
        <c:axId val="1207515919"/>
      </c:lineChart>
      <c:catAx>
        <c:axId val="121414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メイリオ" panose="020B0604030504040204" pitchFamily="50" charset="-128"/>
                <a:ea typeface="メイリオ" panose="020B0604030504040204" pitchFamily="50" charset="-128"/>
                <a:cs typeface="+mn-cs"/>
              </a:defRPr>
            </a:pPr>
            <a:endParaRPr lang="ja-JP"/>
          </a:p>
        </c:txPr>
        <c:crossAx val="1214152175"/>
        <c:crosses val="autoZero"/>
        <c:auto val="1"/>
        <c:lblAlgn val="ctr"/>
        <c:lblOffset val="100"/>
        <c:noMultiLvlLbl val="0"/>
      </c:catAx>
      <c:valAx>
        <c:axId val="1214152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メイリオ" panose="020B0604030504040204" pitchFamily="50" charset="-128"/>
                    <a:ea typeface="メイリオ" panose="020B0604030504040204" pitchFamily="50" charset="-128"/>
                    <a:cs typeface="+mn-cs"/>
                  </a:defRPr>
                </a:pPr>
                <a:r>
                  <a:rPr lang="ja-JP"/>
                  <a:t>鉄道沿線地域</a:t>
                </a:r>
                <a:endParaRPr lang="en-US"/>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メイリオ" panose="020B0604030504040204" pitchFamily="50" charset="-128"/>
                  <a:ea typeface="メイリオ" panose="020B0604030504040204" pitchFamily="50" charset="-128"/>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メイリオ" panose="020B0604030504040204" pitchFamily="50" charset="-128"/>
                <a:ea typeface="メイリオ" panose="020B0604030504040204" pitchFamily="50" charset="-128"/>
                <a:cs typeface="+mn-cs"/>
              </a:defRPr>
            </a:pPr>
            <a:endParaRPr lang="ja-JP"/>
          </a:p>
        </c:txPr>
        <c:crossAx val="1214149295"/>
        <c:crosses val="autoZero"/>
        <c:crossBetween val="between"/>
      </c:valAx>
      <c:valAx>
        <c:axId val="1207515919"/>
        <c:scaling>
          <c:orientation val="minMax"/>
        </c:scaling>
        <c:delete val="0"/>
        <c:axPos val="r"/>
        <c:title>
          <c:tx>
            <c:rich>
              <a:bodyPr rot="-5400000" spcFirstLastPara="1" vertOverflow="ellipsis" vert="horz" wrap="square" anchor="ctr" anchorCtr="1"/>
              <a:lstStyle/>
              <a:p>
                <a:pPr>
                  <a:defRPr sz="1200" b="0" i="0" u="none" strike="noStrike" kern="1200" baseline="0">
                    <a:solidFill>
                      <a:sysClr val="windowText" lastClr="000000"/>
                    </a:solidFill>
                    <a:latin typeface="メイリオ" panose="020B0604030504040204" pitchFamily="50" charset="-128"/>
                    <a:ea typeface="メイリオ" panose="020B0604030504040204" pitchFamily="50" charset="-128"/>
                    <a:cs typeface="+mn-cs"/>
                  </a:defRPr>
                </a:pPr>
                <a:r>
                  <a:rPr lang="ja-JP"/>
                  <a:t>佐渡全域</a:t>
                </a:r>
                <a:endParaRPr lang="en-US"/>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メイリオ" panose="020B0604030504040204" pitchFamily="50" charset="-128"/>
                  <a:ea typeface="メイリオ" panose="020B0604030504040204" pitchFamily="50" charset="-128"/>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メイリオ" panose="020B0604030504040204" pitchFamily="50" charset="-128"/>
                <a:ea typeface="メイリオ" panose="020B0604030504040204" pitchFamily="50" charset="-128"/>
                <a:cs typeface="+mn-cs"/>
              </a:defRPr>
            </a:pPr>
            <a:endParaRPr lang="ja-JP"/>
          </a:p>
        </c:txPr>
        <c:crossAx val="1207502479"/>
        <c:crosses val="max"/>
        <c:crossBetween val="between"/>
      </c:valAx>
      <c:catAx>
        <c:axId val="1207502479"/>
        <c:scaling>
          <c:orientation val="minMax"/>
        </c:scaling>
        <c:delete val="1"/>
        <c:axPos val="b"/>
        <c:numFmt formatCode="General" sourceLinked="1"/>
        <c:majorTickMark val="out"/>
        <c:minorTickMark val="none"/>
        <c:tickLblPos val="nextTo"/>
        <c:crossAx val="1207515919"/>
        <c:crosses val="autoZero"/>
        <c:auto val="1"/>
        <c:lblAlgn val="ctr"/>
        <c:lblOffset val="100"/>
        <c:noMultiLvlLbl val="0"/>
      </c:catAx>
      <c:spPr>
        <a:noFill/>
        <a:ln>
          <a:noFill/>
        </a:ln>
        <a:effectLst/>
      </c:spPr>
    </c:plotArea>
    <c:legend>
      <c:legendPos val="b"/>
      <c:layout>
        <c:manualLayout>
          <c:xMode val="edge"/>
          <c:yMode val="edge"/>
          <c:x val="2.1916194914331152E-2"/>
          <c:y val="0.82167575438455775"/>
          <c:w val="0.95343374995640895"/>
          <c:h val="8.1910102475922453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メイリオ" panose="020B0604030504040204" pitchFamily="50" charset="-128"/>
              <a:ea typeface="メイリオ" panose="020B0604030504040204" pitchFamily="50" charset="-128"/>
              <a:cs typeface="+mn-cs"/>
            </a:defRPr>
          </a:pPr>
          <a:endParaRPr lang="ja-JP"/>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0">
          <a:solidFill>
            <a:sysClr val="windowText" lastClr="000000"/>
          </a:solidFill>
          <a:latin typeface="メイリオ" panose="020B0604030504040204" pitchFamily="50" charset="-128"/>
          <a:ea typeface="メイリオ" panose="020B0604030504040204" pitchFamily="50" charset="-128"/>
        </a:defRPr>
      </a:pPr>
      <a:endParaRPr lang="ja-JP"/>
    </a:p>
  </c:txPr>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メイリオ" panose="020B0604030504040204" pitchFamily="50" charset="-128"/>
                <a:ea typeface="メイリオ" panose="020B0604030504040204" pitchFamily="50" charset="-128"/>
                <a:cs typeface="+mn-cs"/>
              </a:defRPr>
            </a:pPr>
            <a:r>
              <a:rPr lang="ja-JP"/>
              <a:t>佐渡 車両数の推移</a:t>
            </a:r>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メイリオ" panose="020B0604030504040204" pitchFamily="50" charset="-128"/>
              <a:ea typeface="メイリオ" panose="020B0604030504040204" pitchFamily="50" charset="-128"/>
              <a:cs typeface="+mn-cs"/>
            </a:defRPr>
          </a:pPr>
          <a:endParaRPr lang="ja-JP"/>
        </a:p>
      </c:txPr>
    </c:title>
    <c:autoTitleDeleted val="0"/>
    <c:plotArea>
      <c:layout>
        <c:manualLayout>
          <c:layoutTarget val="inner"/>
          <c:xMode val="edge"/>
          <c:yMode val="edge"/>
          <c:x val="7.7541532072485625E-2"/>
          <c:y val="9.2767173377285767E-2"/>
          <c:w val="0.78166466685868263"/>
          <c:h val="0.8016106542084146"/>
        </c:manualLayout>
      </c:layout>
      <c:barChart>
        <c:barDir val="col"/>
        <c:grouping val="stacked"/>
        <c:varyColors val="0"/>
        <c:ser>
          <c:idx val="2"/>
          <c:order val="1"/>
          <c:tx>
            <c:v>荷積馬車</c:v>
          </c:tx>
          <c:spPr>
            <a:pattFill prst="ltHorz">
              <a:fgClr>
                <a:schemeClr val="tx1"/>
              </a:fgClr>
              <a:bgClr>
                <a:schemeClr val="bg1"/>
              </a:bgClr>
            </a:pattFill>
            <a:ln>
              <a:solidFill>
                <a:schemeClr val="tx1"/>
              </a:solidFill>
            </a:ln>
            <a:effectLst/>
          </c:spPr>
          <c:invertIfNegative val="0"/>
          <c:val>
            <c:numRef>
              <c:f>'佐渡 車両数'!$E$14:$E$27</c:f>
              <c:numCache>
                <c:formatCode>General</c:formatCode>
                <c:ptCount val="14"/>
                <c:pt idx="0">
                  <c:v>322</c:v>
                </c:pt>
                <c:pt idx="1">
                  <c:v>342</c:v>
                </c:pt>
                <c:pt idx="2">
                  <c:v>343</c:v>
                </c:pt>
                <c:pt idx="3">
                  <c:v>375</c:v>
                </c:pt>
                <c:pt idx="4">
                  <c:v>381</c:v>
                </c:pt>
                <c:pt idx="5">
                  <c:v>381</c:v>
                </c:pt>
                <c:pt idx="6">
                  <c:v>381</c:v>
                </c:pt>
                <c:pt idx="7">
                  <c:v>329</c:v>
                </c:pt>
                <c:pt idx="8">
                  <c:v>385</c:v>
                </c:pt>
                <c:pt idx="9">
                  <c:v>394</c:v>
                </c:pt>
                <c:pt idx="10">
                  <c:v>394</c:v>
                </c:pt>
                <c:pt idx="11">
                  <c:v>406</c:v>
                </c:pt>
                <c:pt idx="12">
                  <c:v>434</c:v>
                </c:pt>
                <c:pt idx="13">
                  <c:v>422</c:v>
                </c:pt>
              </c:numCache>
            </c:numRef>
          </c:val>
          <c:extLst>
            <c:ext xmlns:c16="http://schemas.microsoft.com/office/drawing/2014/chart" uri="{C3380CC4-5D6E-409C-BE32-E72D297353CC}">
              <c16:uniqueId val="{00000001-FD07-4F33-BF29-7AB03E80F36D}"/>
            </c:ext>
          </c:extLst>
        </c:ser>
        <c:ser>
          <c:idx val="3"/>
          <c:order val="2"/>
          <c:tx>
            <c:v>人力車</c:v>
          </c:tx>
          <c:spPr>
            <a:pattFill prst="ltVert">
              <a:fgClr>
                <a:schemeClr val="tx1"/>
              </a:fgClr>
              <a:bgClr>
                <a:schemeClr val="bg1"/>
              </a:bgClr>
            </a:pattFill>
            <a:ln>
              <a:solidFill>
                <a:schemeClr val="tx1"/>
              </a:solidFill>
            </a:ln>
            <a:effectLst/>
          </c:spPr>
          <c:invertIfNegative val="0"/>
          <c:val>
            <c:numRef>
              <c:f>'佐渡 車両数'!$F$14:$F$27</c:f>
              <c:numCache>
                <c:formatCode>General</c:formatCode>
                <c:ptCount val="14"/>
                <c:pt idx="0">
                  <c:v>203</c:v>
                </c:pt>
                <c:pt idx="1">
                  <c:v>209</c:v>
                </c:pt>
                <c:pt idx="2">
                  <c:v>213</c:v>
                </c:pt>
                <c:pt idx="3">
                  <c:v>220</c:v>
                </c:pt>
                <c:pt idx="4">
                  <c:v>210</c:v>
                </c:pt>
                <c:pt idx="6">
                  <c:v>202</c:v>
                </c:pt>
                <c:pt idx="7">
                  <c:v>189</c:v>
                </c:pt>
                <c:pt idx="8">
                  <c:v>188</c:v>
                </c:pt>
                <c:pt idx="9">
                  <c:v>180</c:v>
                </c:pt>
                <c:pt idx="10">
                  <c:v>172</c:v>
                </c:pt>
                <c:pt idx="11">
                  <c:v>173</c:v>
                </c:pt>
                <c:pt idx="12">
                  <c:v>167</c:v>
                </c:pt>
                <c:pt idx="13">
                  <c:v>171</c:v>
                </c:pt>
              </c:numCache>
            </c:numRef>
          </c:val>
          <c:extLst>
            <c:ext xmlns:c16="http://schemas.microsoft.com/office/drawing/2014/chart" uri="{C3380CC4-5D6E-409C-BE32-E72D297353CC}">
              <c16:uniqueId val="{00000002-FD07-4F33-BF29-7AB03E80F36D}"/>
            </c:ext>
          </c:extLst>
        </c:ser>
        <c:ser>
          <c:idx val="4"/>
          <c:order val="3"/>
          <c:tx>
            <c:v>自転車</c:v>
          </c:tx>
          <c:spPr>
            <a:pattFill prst="pct25">
              <a:fgClr>
                <a:schemeClr val="tx1"/>
              </a:fgClr>
              <a:bgClr>
                <a:schemeClr val="bg1"/>
              </a:bgClr>
            </a:pattFill>
            <a:ln>
              <a:solidFill>
                <a:schemeClr val="tx1"/>
              </a:solidFill>
            </a:ln>
            <a:effectLst/>
          </c:spPr>
          <c:invertIfNegative val="0"/>
          <c:val>
            <c:numRef>
              <c:f>'佐渡 車両数'!$K$14:$K$27</c:f>
              <c:numCache>
                <c:formatCode>General</c:formatCode>
                <c:ptCount val="14"/>
                <c:pt idx="0">
                  <c:v>43</c:v>
                </c:pt>
                <c:pt idx="1">
                  <c:v>45</c:v>
                </c:pt>
                <c:pt idx="2">
                  <c:v>51</c:v>
                </c:pt>
                <c:pt idx="3">
                  <c:v>73</c:v>
                </c:pt>
                <c:pt idx="4">
                  <c:v>100</c:v>
                </c:pt>
                <c:pt idx="5">
                  <c:v>142</c:v>
                </c:pt>
                <c:pt idx="6">
                  <c:v>142</c:v>
                </c:pt>
                <c:pt idx="7">
                  <c:v>335</c:v>
                </c:pt>
                <c:pt idx="8">
                  <c:v>404</c:v>
                </c:pt>
                <c:pt idx="9">
                  <c:v>414</c:v>
                </c:pt>
                <c:pt idx="10">
                  <c:v>446</c:v>
                </c:pt>
                <c:pt idx="11">
                  <c:v>564</c:v>
                </c:pt>
                <c:pt idx="12">
                  <c:v>767</c:v>
                </c:pt>
                <c:pt idx="13">
                  <c:v>1164</c:v>
                </c:pt>
              </c:numCache>
            </c:numRef>
          </c:val>
          <c:extLst>
            <c:ext xmlns:c16="http://schemas.microsoft.com/office/drawing/2014/chart" uri="{C3380CC4-5D6E-409C-BE32-E72D297353CC}">
              <c16:uniqueId val="{00000003-FD07-4F33-BF29-7AB03E80F36D}"/>
            </c:ext>
          </c:extLst>
        </c:ser>
        <c:ser>
          <c:idx val="5"/>
          <c:order val="4"/>
          <c:tx>
            <c:v>荷車</c:v>
          </c:tx>
          <c:spPr>
            <a:pattFill prst="pct5">
              <a:fgClr>
                <a:schemeClr val="tx1"/>
              </a:fgClr>
              <a:bgClr>
                <a:schemeClr val="bg1"/>
              </a:bgClr>
            </a:pattFill>
            <a:ln>
              <a:solidFill>
                <a:schemeClr val="tx1"/>
              </a:solidFill>
            </a:ln>
            <a:effectLst/>
          </c:spPr>
          <c:invertIfNegative val="0"/>
          <c:val>
            <c:numRef>
              <c:f>'佐渡 車両数'!$O$14:$O$27</c:f>
              <c:numCache>
                <c:formatCode>General</c:formatCode>
                <c:ptCount val="14"/>
                <c:pt idx="0">
                  <c:v>1262</c:v>
                </c:pt>
                <c:pt idx="1">
                  <c:v>1316</c:v>
                </c:pt>
                <c:pt idx="2">
                  <c:v>1538</c:v>
                </c:pt>
                <c:pt idx="3">
                  <c:v>1671</c:v>
                </c:pt>
                <c:pt idx="4">
                  <c:v>1838</c:v>
                </c:pt>
                <c:pt idx="5">
                  <c:v>2009</c:v>
                </c:pt>
                <c:pt idx="6">
                  <c:v>2009</c:v>
                </c:pt>
                <c:pt idx="7">
                  <c:v>2252</c:v>
                </c:pt>
                <c:pt idx="8">
                  <c:v>2278</c:v>
                </c:pt>
                <c:pt idx="9">
                  <c:v>2310</c:v>
                </c:pt>
                <c:pt idx="10">
                  <c:v>2337</c:v>
                </c:pt>
                <c:pt idx="11">
                  <c:v>2390</c:v>
                </c:pt>
                <c:pt idx="12">
                  <c:v>2634</c:v>
                </c:pt>
                <c:pt idx="13">
                  <c:v>2823</c:v>
                </c:pt>
              </c:numCache>
            </c:numRef>
          </c:val>
          <c:extLst>
            <c:ext xmlns:c16="http://schemas.microsoft.com/office/drawing/2014/chart" uri="{C3380CC4-5D6E-409C-BE32-E72D297353CC}">
              <c16:uniqueId val="{00000004-FD07-4F33-BF29-7AB03E80F36D}"/>
            </c:ext>
          </c:extLst>
        </c:ser>
        <c:ser>
          <c:idx val="1"/>
          <c:order val="5"/>
          <c:tx>
            <c:v>その他</c:v>
          </c:tx>
          <c:spPr>
            <a:pattFill prst="zigZag">
              <a:fgClr>
                <a:schemeClr val="tx1"/>
              </a:fgClr>
              <a:bgClr>
                <a:schemeClr val="bg1"/>
              </a:bgClr>
            </a:pattFill>
            <a:ln>
              <a:solidFill>
                <a:schemeClr val="tx1"/>
              </a:solidFill>
            </a:ln>
            <a:effectLst/>
          </c:spPr>
          <c:invertIfNegative val="0"/>
          <c:val>
            <c:numRef>
              <c:f>'佐渡 車両数'!$P$14:$P$27</c:f>
              <c:numCache>
                <c:formatCode>General</c:formatCode>
                <c:ptCount val="14"/>
                <c:pt idx="0">
                  <c:v>4</c:v>
                </c:pt>
                <c:pt idx="1">
                  <c:v>5</c:v>
                </c:pt>
                <c:pt idx="2">
                  <c:v>6</c:v>
                </c:pt>
                <c:pt idx="3">
                  <c:v>20</c:v>
                </c:pt>
                <c:pt idx="4">
                  <c:v>35</c:v>
                </c:pt>
                <c:pt idx="5">
                  <c:v>0</c:v>
                </c:pt>
                <c:pt idx="6">
                  <c:v>23</c:v>
                </c:pt>
                <c:pt idx="7">
                  <c:v>69</c:v>
                </c:pt>
                <c:pt idx="8">
                  <c:v>25</c:v>
                </c:pt>
                <c:pt idx="9">
                  <c:v>20</c:v>
                </c:pt>
                <c:pt idx="10">
                  <c:v>24</c:v>
                </c:pt>
                <c:pt idx="11">
                  <c:v>22</c:v>
                </c:pt>
                <c:pt idx="12">
                  <c:v>26</c:v>
                </c:pt>
                <c:pt idx="13">
                  <c:v>24</c:v>
                </c:pt>
              </c:numCache>
            </c:numRef>
          </c:val>
          <c:extLst>
            <c:ext xmlns:c16="http://schemas.microsoft.com/office/drawing/2014/chart" uri="{C3380CC4-5D6E-409C-BE32-E72D297353CC}">
              <c16:uniqueId val="{00000009-FD07-4F33-BF29-7AB03E80F36D}"/>
            </c:ext>
          </c:extLst>
        </c:ser>
        <c:dLbls>
          <c:showLegendKey val="0"/>
          <c:showVal val="0"/>
          <c:showCatName val="0"/>
          <c:showSerName val="0"/>
          <c:showPercent val="0"/>
          <c:showBubbleSize val="0"/>
        </c:dLbls>
        <c:gapWidth val="150"/>
        <c:overlap val="100"/>
        <c:axId val="587775343"/>
        <c:axId val="587779183"/>
      </c:barChart>
      <c:lineChart>
        <c:grouping val="standard"/>
        <c:varyColors val="0"/>
        <c:ser>
          <c:idx val="0"/>
          <c:order val="0"/>
          <c:tx>
            <c:v>車両数</c:v>
          </c:tx>
          <c:spPr>
            <a:ln w="28575" cap="rnd">
              <a:solidFill>
                <a:schemeClr val="tx1"/>
              </a:solidFill>
              <a:round/>
            </a:ln>
            <a:effectLst/>
          </c:spPr>
          <c:marker>
            <c:symbol val="circle"/>
            <c:size val="5"/>
            <c:spPr>
              <a:solidFill>
                <a:schemeClr val="tx1"/>
              </a:solidFill>
              <a:ln w="9525">
                <a:solidFill>
                  <a:schemeClr val="tx1"/>
                </a:solidFill>
              </a:ln>
              <a:effectLst/>
            </c:spPr>
          </c:marker>
          <c:cat>
            <c:numRef>
              <c:f>'佐渡 車両数'!$B$14:$B$27</c:f>
              <c:numCache>
                <c:formatCode>General</c:formatCode>
                <c:ptCount val="14"/>
                <c:pt idx="0">
                  <c:v>1907</c:v>
                </c:pt>
                <c:pt idx="1">
                  <c:v>1908</c:v>
                </c:pt>
                <c:pt idx="2">
                  <c:v>1909</c:v>
                </c:pt>
                <c:pt idx="3">
                  <c:v>1910</c:v>
                </c:pt>
                <c:pt idx="4">
                  <c:v>1911</c:v>
                </c:pt>
                <c:pt idx="5">
                  <c:v>1912</c:v>
                </c:pt>
                <c:pt idx="6">
                  <c:v>1913</c:v>
                </c:pt>
                <c:pt idx="7">
                  <c:v>1914</c:v>
                </c:pt>
                <c:pt idx="8">
                  <c:v>1915</c:v>
                </c:pt>
                <c:pt idx="9">
                  <c:v>1916</c:v>
                </c:pt>
                <c:pt idx="10">
                  <c:v>1917</c:v>
                </c:pt>
                <c:pt idx="11">
                  <c:v>1918</c:v>
                </c:pt>
                <c:pt idx="12">
                  <c:v>1919</c:v>
                </c:pt>
                <c:pt idx="13">
                  <c:v>1920</c:v>
                </c:pt>
              </c:numCache>
            </c:numRef>
          </c:cat>
          <c:val>
            <c:numRef>
              <c:f>'佐渡 車両数'!$N$14:$N$27</c:f>
              <c:numCache>
                <c:formatCode>General</c:formatCode>
                <c:ptCount val="14"/>
                <c:pt idx="0">
                  <c:v>1834</c:v>
                </c:pt>
                <c:pt idx="1">
                  <c:v>2007</c:v>
                </c:pt>
                <c:pt idx="2">
                  <c:v>2151</c:v>
                </c:pt>
                <c:pt idx="3">
                  <c:v>2359</c:v>
                </c:pt>
                <c:pt idx="4">
                  <c:v>2564</c:v>
                </c:pt>
                <c:pt idx="5">
                  <c:v>2390</c:v>
                </c:pt>
                <c:pt idx="6">
                  <c:v>2757</c:v>
                </c:pt>
                <c:pt idx="7">
                  <c:v>3174</c:v>
                </c:pt>
                <c:pt idx="8">
                  <c:v>3280</c:v>
                </c:pt>
                <c:pt idx="9">
                  <c:v>3318</c:v>
                </c:pt>
                <c:pt idx="10">
                  <c:v>3373</c:v>
                </c:pt>
                <c:pt idx="11">
                  <c:v>3555</c:v>
                </c:pt>
                <c:pt idx="12">
                  <c:v>4028</c:v>
                </c:pt>
                <c:pt idx="13">
                  <c:v>4604</c:v>
                </c:pt>
              </c:numCache>
            </c:numRef>
          </c:val>
          <c:smooth val="0"/>
          <c:extLst>
            <c:ext xmlns:c16="http://schemas.microsoft.com/office/drawing/2014/chart" uri="{C3380CC4-5D6E-409C-BE32-E72D297353CC}">
              <c16:uniqueId val="{00000007-FD07-4F33-BF29-7AB03E80F36D}"/>
            </c:ext>
          </c:extLst>
        </c:ser>
        <c:dLbls>
          <c:showLegendKey val="0"/>
          <c:showVal val="0"/>
          <c:showCatName val="0"/>
          <c:showSerName val="0"/>
          <c:showPercent val="0"/>
          <c:showBubbleSize val="0"/>
        </c:dLbls>
        <c:marker val="1"/>
        <c:smooth val="0"/>
        <c:axId val="587775343"/>
        <c:axId val="587779183"/>
      </c:lineChart>
      <c:catAx>
        <c:axId val="58777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400" b="0" i="0" u="none" strike="noStrike" kern="1200" baseline="0">
                <a:solidFill>
                  <a:sysClr val="windowText" lastClr="000000"/>
                </a:solidFill>
                <a:latin typeface="メイリオ" panose="020B0604030504040204" pitchFamily="50" charset="-128"/>
                <a:ea typeface="メイリオ" panose="020B0604030504040204" pitchFamily="50" charset="-128"/>
                <a:cs typeface="+mn-cs"/>
              </a:defRPr>
            </a:pPr>
            <a:endParaRPr lang="ja-JP"/>
          </a:p>
        </c:txPr>
        <c:crossAx val="587779183"/>
        <c:crosses val="autoZero"/>
        <c:auto val="1"/>
        <c:lblAlgn val="ctr"/>
        <c:lblOffset val="100"/>
        <c:noMultiLvlLbl val="0"/>
      </c:catAx>
      <c:valAx>
        <c:axId val="58777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メイリオ" panose="020B0604030504040204" pitchFamily="50" charset="-128"/>
                <a:ea typeface="メイリオ" panose="020B0604030504040204" pitchFamily="50" charset="-128"/>
                <a:cs typeface="+mn-cs"/>
              </a:defRPr>
            </a:pPr>
            <a:endParaRPr lang="ja-JP"/>
          </a:p>
        </c:txPr>
        <c:crossAx val="587775343"/>
        <c:crosses val="autoZero"/>
        <c:crossBetween val="between"/>
      </c:valAx>
      <c:spPr>
        <a:noFill/>
        <a:ln>
          <a:noFill/>
        </a:ln>
        <a:effectLst/>
      </c:spPr>
    </c:plotArea>
    <c:legend>
      <c:legendPos val="r"/>
      <c:overlay val="0"/>
      <c:spPr>
        <a:noFill/>
        <a:ln>
          <a:solidFill>
            <a:schemeClr val="tx1"/>
          </a:solidFill>
        </a:ln>
        <a:effectLst/>
      </c:spPr>
      <c:txPr>
        <a:bodyPr rot="0" spcFirstLastPara="1" vertOverflow="ellipsis" vert="horz" wrap="square" anchor="ctr" anchorCtr="1"/>
        <a:lstStyle/>
        <a:p>
          <a:pPr>
            <a:defRPr sz="1400" b="0" i="0" u="none" strike="noStrike" kern="1200" baseline="0">
              <a:solidFill>
                <a:sysClr val="windowText" lastClr="000000"/>
              </a:solidFill>
              <a:latin typeface="メイリオ" panose="020B0604030504040204" pitchFamily="50" charset="-128"/>
              <a:ea typeface="メイリオ" panose="020B0604030504040204"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solidFill>
            <a:sysClr val="windowText" lastClr="000000"/>
          </a:solidFill>
          <a:latin typeface="メイリオ" panose="020B0604030504040204" pitchFamily="50" charset="-128"/>
          <a:ea typeface="メイリオ" panose="020B0604030504040204" pitchFamily="50" charset="-128"/>
        </a:defRPr>
      </a:pPr>
      <a:endParaRPr lang="ja-JP"/>
    </a:p>
  </c:txPr>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821D619-4970-49AB-A587-455D321C1E0B}">
  <sheetPr/>
  <sheetViews>
    <sheetView zoomScale="70"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F694038-B434-4007-B570-6ED2610E9AAB}">
  <sheetPr/>
  <sheetViews>
    <sheetView zoomScale="79"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285514" cy="6063343"/>
    <xdr:graphicFrame macro="">
      <xdr:nvGraphicFramePr>
        <xdr:cNvPr id="2" name="グラフ 1">
          <a:extLst>
            <a:ext uri="{FF2B5EF4-FFF2-40B4-BE49-F238E27FC236}">
              <a16:creationId xmlns:a16="http://schemas.microsoft.com/office/drawing/2014/main" id="{CBC8B57C-6BE8-A331-8CA5-3676C9FC6A6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0.00593</cdr:x>
      <cdr:y>0.89288</cdr:y>
    </cdr:from>
    <cdr:to>
      <cdr:x>1</cdr:x>
      <cdr:y>1</cdr:y>
    </cdr:to>
    <cdr:sp macro="" textlink="">
      <cdr:nvSpPr>
        <cdr:cNvPr id="2" name="テキスト ボックス 1">
          <a:extLst xmlns:a="http://schemas.openxmlformats.org/drawingml/2006/main">
            <a:ext uri="{FF2B5EF4-FFF2-40B4-BE49-F238E27FC236}">
              <a16:creationId xmlns:a16="http://schemas.microsoft.com/office/drawing/2014/main" id="{BB0D7C04-726D-7731-C948-7CCCC8C83ED7}"/>
            </a:ext>
          </a:extLst>
        </cdr:cNvPr>
        <cdr:cNvSpPr txBox="1"/>
      </cdr:nvSpPr>
      <cdr:spPr>
        <a:xfrm xmlns:a="http://schemas.openxmlformats.org/drawingml/2006/main">
          <a:off x="55095" y="5410199"/>
          <a:ext cx="9235797" cy="64907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ja-JP" altLang="en-US" sz="1050" kern="1200">
              <a:latin typeface="メイリオ" panose="020B0604030504040204" pitchFamily="50" charset="-128"/>
              <a:ea typeface="メイリオ" panose="020B0604030504040204" pitchFamily="50" charset="-128"/>
            </a:rPr>
            <a:t>出典：</a:t>
          </a:r>
          <a:r>
            <a:rPr lang="en-US" altLang="ja-JP" sz="1050" kern="1200">
              <a:latin typeface="メイリオ" panose="020B0604030504040204" pitchFamily="50" charset="-128"/>
              <a:ea typeface="メイリオ" panose="020B0604030504040204" pitchFamily="50" charset="-128"/>
            </a:rPr>
            <a:t>『</a:t>
          </a:r>
          <a:r>
            <a:rPr lang="ja-JP" altLang="en-US" sz="1050" kern="1200">
              <a:latin typeface="メイリオ" panose="020B0604030504040204" pitchFamily="50" charset="-128"/>
              <a:ea typeface="メイリオ" panose="020B0604030504040204" pitchFamily="50" charset="-128"/>
            </a:rPr>
            <a:t>新潟県統計書</a:t>
          </a:r>
          <a:r>
            <a:rPr lang="en-US" altLang="ja-JP" sz="1050" kern="1200">
              <a:latin typeface="メイリオ" panose="020B0604030504040204" pitchFamily="50" charset="-128"/>
              <a:ea typeface="メイリオ" panose="020B0604030504040204" pitchFamily="50" charset="-128"/>
            </a:rPr>
            <a:t>』『</a:t>
          </a:r>
          <a:r>
            <a:rPr lang="ja-JP" altLang="en-US" sz="1050" kern="1200">
              <a:latin typeface="メイリオ" panose="020B0604030504040204" pitchFamily="50" charset="-128"/>
              <a:ea typeface="メイリオ" panose="020B0604030504040204" pitchFamily="50" charset="-128"/>
            </a:rPr>
            <a:t>日本全国郡区分人口表</a:t>
          </a:r>
          <a:r>
            <a:rPr lang="en-US" altLang="ja-JP" sz="1050" kern="1200">
              <a:latin typeface="メイリオ" panose="020B0604030504040204" pitchFamily="50" charset="-128"/>
              <a:ea typeface="メイリオ" panose="020B0604030504040204" pitchFamily="50" charset="-128"/>
            </a:rPr>
            <a:t>』『</a:t>
          </a:r>
          <a:r>
            <a:rPr lang="ja-JP" altLang="en-US" sz="1050" kern="1200">
              <a:latin typeface="メイリオ" panose="020B0604030504040204" pitchFamily="50" charset="-128"/>
              <a:ea typeface="メイリオ" panose="020B0604030504040204" pitchFamily="50" charset="-128"/>
            </a:rPr>
            <a:t>統計年鑑</a:t>
          </a:r>
          <a:r>
            <a:rPr lang="en-US" altLang="ja-JP" sz="1050" kern="1200">
              <a:latin typeface="メイリオ" panose="020B0604030504040204" pitchFamily="50" charset="-128"/>
              <a:ea typeface="メイリオ" panose="020B0604030504040204" pitchFamily="50" charset="-128"/>
            </a:rPr>
            <a:t>』『</a:t>
          </a:r>
          <a:r>
            <a:rPr lang="ja-JP" altLang="en-US" sz="1050" kern="1200">
              <a:latin typeface="メイリオ" panose="020B0604030504040204" pitchFamily="50" charset="-128"/>
              <a:ea typeface="メイリオ" panose="020B0604030504040204" pitchFamily="50" charset="-128"/>
            </a:rPr>
            <a:t>日本帝国統計年鑑</a:t>
          </a:r>
          <a:r>
            <a:rPr lang="en-US" altLang="ja-JP" sz="1050" kern="1200">
              <a:latin typeface="メイリオ" panose="020B0604030504040204" pitchFamily="50" charset="-128"/>
              <a:ea typeface="メイリオ" panose="020B0604030504040204" pitchFamily="50" charset="-128"/>
            </a:rPr>
            <a:t>』『</a:t>
          </a:r>
          <a:r>
            <a:rPr lang="ja-JP" altLang="en-US" sz="1050" kern="1200">
              <a:latin typeface="メイリオ" panose="020B0604030504040204" pitchFamily="50" charset="-128"/>
              <a:ea typeface="メイリオ" panose="020B0604030504040204" pitchFamily="50" charset="-128"/>
            </a:rPr>
            <a:t>日本帝国民籍戸口表</a:t>
          </a:r>
          <a:r>
            <a:rPr lang="en-US" altLang="ja-JP" sz="1050" kern="1200">
              <a:latin typeface="メイリオ" panose="020B0604030504040204" pitchFamily="50" charset="-128"/>
              <a:ea typeface="メイリオ" panose="020B0604030504040204" pitchFamily="50" charset="-128"/>
            </a:rPr>
            <a:t>』『</a:t>
          </a:r>
          <a:r>
            <a:rPr lang="ja-JP" altLang="en-US" sz="1050" kern="1200">
              <a:latin typeface="メイリオ" panose="020B0604030504040204" pitchFamily="50" charset="-128"/>
              <a:ea typeface="メイリオ" panose="020B0604030504040204" pitchFamily="50" charset="-128"/>
            </a:rPr>
            <a:t>日本帝国人口統計</a:t>
          </a:r>
          <a:r>
            <a:rPr lang="en-US" altLang="ja-JP" sz="1050" kern="1200">
              <a:latin typeface="メイリオ" panose="020B0604030504040204" pitchFamily="50" charset="-128"/>
              <a:ea typeface="メイリオ" panose="020B0604030504040204" pitchFamily="50" charset="-128"/>
            </a:rPr>
            <a:t>』</a:t>
          </a:r>
          <a:r>
            <a:rPr lang="ja-JP" altLang="en-US" sz="1050" kern="1200">
              <a:latin typeface="メイリオ" panose="020B0604030504040204" pitchFamily="50" charset="-128"/>
              <a:ea typeface="メイリオ" panose="020B0604030504040204" pitchFamily="50" charset="-128"/>
            </a:rPr>
            <a:t>各年より作成。</a:t>
          </a:r>
          <a:endParaRPr lang="en-US" altLang="ja-JP" sz="1050" kern="1200">
            <a:latin typeface="メイリオ" panose="020B0604030504040204" pitchFamily="50" charset="-128"/>
            <a:ea typeface="メイリオ" panose="020B0604030504040204" pitchFamily="50" charset="-128"/>
          </a:endParaRPr>
        </a:p>
        <a:p xmlns:a="http://schemas.openxmlformats.org/drawingml/2006/main">
          <a:r>
            <a:rPr lang="ja-JP" altLang="en-US" sz="1050" kern="1200">
              <a:latin typeface="メイリオ" panose="020B0604030504040204" pitchFamily="50" charset="-128"/>
              <a:ea typeface="メイリオ" panose="020B0604030504040204" pitchFamily="50" charset="-128"/>
            </a:rPr>
            <a:t>欠損値は線形補間を行った。</a:t>
          </a:r>
          <a:endParaRPr lang="en-US" altLang="ja-JP" sz="1050" kern="1200">
            <a:latin typeface="メイリオ" panose="020B0604030504040204" pitchFamily="50" charset="-128"/>
            <a:ea typeface="メイリオ" panose="020B0604030504040204" pitchFamily="50" charset="-128"/>
          </a:endParaRP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79038" cy="6057418"/>
    <xdr:graphicFrame macro="">
      <xdr:nvGraphicFramePr>
        <xdr:cNvPr id="2" name="グラフ 1">
          <a:extLst>
            <a:ext uri="{FF2B5EF4-FFF2-40B4-BE49-F238E27FC236}">
              <a16:creationId xmlns:a16="http://schemas.microsoft.com/office/drawing/2014/main" id="{705A3314-2F91-391E-1069-D85431013E5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0.15711</cdr:x>
      <cdr:y>0.95606</cdr:y>
    </cdr:from>
    <cdr:to>
      <cdr:x>0.50692</cdr:x>
      <cdr:y>0.99697</cdr:y>
    </cdr:to>
    <cdr:sp macro="" textlink="">
      <cdr:nvSpPr>
        <cdr:cNvPr id="2" name="テキスト ボックス 1">
          <a:extLst xmlns:a="http://schemas.openxmlformats.org/drawingml/2006/main">
            <a:ext uri="{FF2B5EF4-FFF2-40B4-BE49-F238E27FC236}">
              <a16:creationId xmlns:a16="http://schemas.microsoft.com/office/drawing/2014/main" id="{FF03DB3F-859C-79CD-E664-D9061FA33193}"/>
            </a:ext>
          </a:extLst>
        </cdr:cNvPr>
        <cdr:cNvSpPr txBox="1"/>
      </cdr:nvSpPr>
      <cdr:spPr>
        <a:xfrm xmlns:a="http://schemas.openxmlformats.org/drawingml/2006/main">
          <a:off x="1459735" y="5793036"/>
          <a:ext cx="3249976" cy="2478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ja-JP" altLang="en-US" sz="1100" kern="1200"/>
        </a:p>
      </cdr:txBody>
    </cdr:sp>
  </cdr:relSizeAnchor>
  <cdr:relSizeAnchor xmlns:cdr="http://schemas.openxmlformats.org/drawingml/2006/chartDrawing">
    <cdr:from>
      <cdr:x>0</cdr:x>
      <cdr:y>0.94626</cdr:y>
    </cdr:from>
    <cdr:to>
      <cdr:x>0.99407</cdr:x>
      <cdr:y>0.99929</cdr:y>
    </cdr:to>
    <cdr:sp macro="" textlink="">
      <cdr:nvSpPr>
        <cdr:cNvPr id="5" name="テキスト ボックス 1">
          <a:extLst xmlns:a="http://schemas.openxmlformats.org/drawingml/2006/main">
            <a:ext uri="{FF2B5EF4-FFF2-40B4-BE49-F238E27FC236}">
              <a16:creationId xmlns:a16="http://schemas.microsoft.com/office/drawing/2014/main" id="{52511CFE-3629-6741-7194-FD6BDA6E6E87}"/>
            </a:ext>
          </a:extLst>
        </cdr:cNvPr>
        <cdr:cNvSpPr txBox="1"/>
      </cdr:nvSpPr>
      <cdr:spPr>
        <a:xfrm xmlns:a="http://schemas.openxmlformats.org/drawingml/2006/main">
          <a:off x="0" y="5733668"/>
          <a:ext cx="9235808" cy="32132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ja-JP" altLang="en-US" sz="1050" kern="1200">
              <a:latin typeface="メイリオ" panose="020B0604030504040204" pitchFamily="50" charset="-128"/>
              <a:ea typeface="メイリオ" panose="020B0604030504040204" pitchFamily="50" charset="-128"/>
            </a:rPr>
            <a:t>出典：</a:t>
          </a:r>
          <a:r>
            <a:rPr lang="en-US" altLang="ja-JP" sz="1050" kern="1200">
              <a:latin typeface="メイリオ" panose="020B0604030504040204" pitchFamily="50" charset="-128"/>
              <a:ea typeface="メイリオ" panose="020B0604030504040204" pitchFamily="50" charset="-128"/>
            </a:rPr>
            <a:t>『</a:t>
          </a:r>
          <a:r>
            <a:rPr lang="ja-JP" altLang="en-US" sz="1050" kern="1200">
              <a:latin typeface="メイリオ" panose="020B0604030504040204" pitchFamily="50" charset="-128"/>
              <a:ea typeface="メイリオ" panose="020B0604030504040204" pitchFamily="50" charset="-128"/>
            </a:rPr>
            <a:t>新潟県統計書</a:t>
          </a:r>
          <a:r>
            <a:rPr lang="en-US" altLang="ja-JP" sz="1050" kern="1200">
              <a:latin typeface="メイリオ" panose="020B0604030504040204" pitchFamily="50" charset="-128"/>
              <a:ea typeface="メイリオ" panose="020B0604030504040204" pitchFamily="50" charset="-128"/>
            </a:rPr>
            <a:t>』</a:t>
          </a:r>
          <a:r>
            <a:rPr lang="ja-JP" altLang="en-US" sz="1050" kern="1200">
              <a:latin typeface="メイリオ" panose="020B0604030504040204" pitchFamily="50" charset="-128"/>
              <a:ea typeface="メイリオ" panose="020B0604030504040204" pitchFamily="50" charset="-128"/>
            </a:rPr>
            <a:t>各年より作成。</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Kohsu\Downloads\&#23736;&#26412;&#35519;&#26619;ds.xlsx" TargetMode="External"/><Relationship Id="rId1" Type="http://schemas.openxmlformats.org/officeDocument/2006/relationships/externalLinkPath" Target="&#23736;&#26412;&#35519;&#26619;d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地域別人口"/>
      <sheetName val="地域別人口出典"/>
      <sheetName val="グラフ(地域別人口の推移)"/>
      <sheetName val="佐渡 車両数"/>
      <sheetName val="グラフ(佐渡車両数の推移)"/>
      <sheetName val="鉄道敷設 署名者数"/>
      <sheetName val="佐渡案内地図と鉄道計画経路"/>
      <sheetName val="議事録・官報"/>
      <sheetName val="国会図書館デジタルライブラリー"/>
    </sheetNames>
    <sheetDataSet>
      <sheetData sheetId="0"/>
      <sheetData sheetId="1"/>
      <sheetData sheetId="2" refreshError="1"/>
      <sheetData sheetId="3">
        <row r="14">
          <cell r="B14">
            <v>1907</v>
          </cell>
          <cell r="C14">
            <v>4</v>
          </cell>
          <cell r="E14">
            <v>322</v>
          </cell>
          <cell r="F14">
            <v>203</v>
          </cell>
          <cell r="K14">
            <v>43</v>
          </cell>
          <cell r="M14" t="str">
            <v>-</v>
          </cell>
          <cell r="N14">
            <v>1834</v>
          </cell>
          <cell r="O14">
            <v>1262</v>
          </cell>
        </row>
        <row r="15">
          <cell r="B15">
            <v>1908</v>
          </cell>
          <cell r="C15">
            <v>5</v>
          </cell>
          <cell r="E15">
            <v>342</v>
          </cell>
          <cell r="F15">
            <v>209</v>
          </cell>
          <cell r="K15">
            <v>45</v>
          </cell>
          <cell r="M15" t="str">
            <v>-</v>
          </cell>
          <cell r="N15">
            <v>2007</v>
          </cell>
          <cell r="O15">
            <v>1316</v>
          </cell>
        </row>
        <row r="16">
          <cell r="B16">
            <v>1909</v>
          </cell>
          <cell r="C16">
            <v>6</v>
          </cell>
          <cell r="E16">
            <v>343</v>
          </cell>
          <cell r="F16">
            <v>213</v>
          </cell>
          <cell r="K16">
            <v>51</v>
          </cell>
          <cell r="M16" t="str">
            <v>-</v>
          </cell>
          <cell r="N16">
            <v>2151</v>
          </cell>
          <cell r="O16">
            <v>1538</v>
          </cell>
        </row>
        <row r="17">
          <cell r="B17">
            <v>1910</v>
          </cell>
          <cell r="C17">
            <v>7</v>
          </cell>
          <cell r="E17">
            <v>375</v>
          </cell>
          <cell r="F17">
            <v>220</v>
          </cell>
          <cell r="K17">
            <v>73</v>
          </cell>
          <cell r="M17">
            <v>13</v>
          </cell>
          <cell r="N17">
            <v>2359</v>
          </cell>
          <cell r="O17">
            <v>1671</v>
          </cell>
        </row>
        <row r="18">
          <cell r="B18">
            <v>1911</v>
          </cell>
          <cell r="C18">
            <v>10</v>
          </cell>
          <cell r="E18">
            <v>381</v>
          </cell>
          <cell r="F18">
            <v>210</v>
          </cell>
          <cell r="K18">
            <v>100</v>
          </cell>
          <cell r="M18">
            <v>25</v>
          </cell>
          <cell r="N18">
            <v>2564</v>
          </cell>
          <cell r="O18">
            <v>1838</v>
          </cell>
        </row>
        <row r="19">
          <cell r="B19">
            <v>1912</v>
          </cell>
          <cell r="E19">
            <v>381</v>
          </cell>
          <cell r="K19">
            <v>142</v>
          </cell>
          <cell r="M19" t="str">
            <v>-</v>
          </cell>
          <cell r="N19">
            <v>2390</v>
          </cell>
          <cell r="O19">
            <v>2009</v>
          </cell>
        </row>
        <row r="20">
          <cell r="B20">
            <v>1913</v>
          </cell>
          <cell r="C20">
            <v>23</v>
          </cell>
          <cell r="E20">
            <v>381</v>
          </cell>
          <cell r="F20">
            <v>202</v>
          </cell>
          <cell r="K20">
            <v>142</v>
          </cell>
          <cell r="L20" t="str">
            <v>-</v>
          </cell>
          <cell r="M20" t="str">
            <v>-</v>
          </cell>
          <cell r="N20">
            <v>2757</v>
          </cell>
          <cell r="O20">
            <v>2009</v>
          </cell>
        </row>
        <row r="21">
          <cell r="B21">
            <v>1914</v>
          </cell>
          <cell r="C21">
            <v>18</v>
          </cell>
          <cell r="E21">
            <v>329</v>
          </cell>
          <cell r="F21">
            <v>189</v>
          </cell>
          <cell r="K21">
            <v>335</v>
          </cell>
          <cell r="L21">
            <v>1</v>
          </cell>
          <cell r="M21">
            <v>50</v>
          </cell>
          <cell r="N21">
            <v>3174</v>
          </cell>
          <cell r="O21">
            <v>2252</v>
          </cell>
        </row>
        <row r="22">
          <cell r="B22">
            <v>1915</v>
          </cell>
          <cell r="C22">
            <v>25</v>
          </cell>
          <cell r="E22">
            <v>385</v>
          </cell>
          <cell r="F22">
            <v>188</v>
          </cell>
          <cell r="K22">
            <v>404</v>
          </cell>
          <cell r="L22" t="str">
            <v>-</v>
          </cell>
          <cell r="M22" t="str">
            <v>-</v>
          </cell>
          <cell r="N22">
            <v>3280</v>
          </cell>
          <cell r="O22">
            <v>2278</v>
          </cell>
        </row>
        <row r="23">
          <cell r="B23">
            <v>1916</v>
          </cell>
          <cell r="C23">
            <v>20</v>
          </cell>
          <cell r="E23">
            <v>394</v>
          </cell>
          <cell r="F23">
            <v>180</v>
          </cell>
          <cell r="K23">
            <v>414</v>
          </cell>
          <cell r="L23" t="str">
            <v>-</v>
          </cell>
          <cell r="M23" t="str">
            <v>-</v>
          </cell>
          <cell r="N23">
            <v>3318</v>
          </cell>
          <cell r="O23">
            <v>2310</v>
          </cell>
        </row>
        <row r="24">
          <cell r="B24">
            <v>1917</v>
          </cell>
          <cell r="C24">
            <v>24</v>
          </cell>
          <cell r="E24">
            <v>394</v>
          </cell>
          <cell r="F24">
            <v>172</v>
          </cell>
          <cell r="K24">
            <v>446</v>
          </cell>
          <cell r="L24" t="str">
            <v>-</v>
          </cell>
          <cell r="M24" t="str">
            <v>-</v>
          </cell>
          <cell r="N24">
            <v>3373</v>
          </cell>
          <cell r="O24">
            <v>2337</v>
          </cell>
        </row>
        <row r="25">
          <cell r="B25">
            <v>1918</v>
          </cell>
          <cell r="C25">
            <v>22</v>
          </cell>
          <cell r="E25">
            <v>406</v>
          </cell>
          <cell r="F25">
            <v>173</v>
          </cell>
          <cell r="K25">
            <v>564</v>
          </cell>
          <cell r="L25" t="str">
            <v>-</v>
          </cell>
          <cell r="M25" t="str">
            <v>-</v>
          </cell>
          <cell r="N25">
            <v>3555</v>
          </cell>
          <cell r="O25">
            <v>2390</v>
          </cell>
        </row>
        <row r="26">
          <cell r="B26">
            <v>1919</v>
          </cell>
          <cell r="C26">
            <v>24</v>
          </cell>
          <cell r="E26">
            <v>434</v>
          </cell>
          <cell r="F26">
            <v>167</v>
          </cell>
          <cell r="K26">
            <v>767</v>
          </cell>
          <cell r="L26">
            <v>2</v>
          </cell>
          <cell r="M26" t="str">
            <v>-</v>
          </cell>
          <cell r="N26">
            <v>4028</v>
          </cell>
          <cell r="O26">
            <v>2634</v>
          </cell>
        </row>
        <row r="27">
          <cell r="B27">
            <v>1920</v>
          </cell>
          <cell r="C27">
            <v>22</v>
          </cell>
          <cell r="E27">
            <v>422</v>
          </cell>
          <cell r="F27">
            <v>171</v>
          </cell>
          <cell r="K27">
            <v>1164</v>
          </cell>
          <cell r="L27">
            <v>2</v>
          </cell>
          <cell r="M27" t="str">
            <v>-</v>
          </cell>
          <cell r="N27">
            <v>4604</v>
          </cell>
          <cell r="O27">
            <v>2823</v>
          </cell>
        </row>
      </sheetData>
      <sheetData sheetId="4" refreshError="1"/>
      <sheetData sheetId="5"/>
      <sheetData sheetId="6"/>
      <sheetData sheetId="7"/>
      <sheetData sheetId="8"/>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s://dl.ndl.go.jp/pid/972553/1/53" TargetMode="External"/><Relationship Id="rId18" Type="http://schemas.openxmlformats.org/officeDocument/2006/relationships/hyperlink" Target="https://dl.ndl.go.jp/pid/806019/1/13" TargetMode="External"/><Relationship Id="rId26" Type="http://schemas.openxmlformats.org/officeDocument/2006/relationships/hyperlink" Target="https://d-infra.ier.hit-u.ac.jp/Japanese/govstat-database/statistical-yb/1898/tab_jpeg/1898_033.jpg" TargetMode="External"/><Relationship Id="rId39" Type="http://schemas.openxmlformats.org/officeDocument/2006/relationships/hyperlink" Target="https://dl.ndl.go.jp/pid/805747/1/5" TargetMode="External"/><Relationship Id="rId21" Type="http://schemas.openxmlformats.org/officeDocument/2006/relationships/hyperlink" Target="https://dl.ndl.go.jp/pid/805976/1/36" TargetMode="External"/><Relationship Id="rId34" Type="http://schemas.openxmlformats.org/officeDocument/2006/relationships/hyperlink" Target="https://dl.ndl.go.jp/pid/1572891/1/11" TargetMode="External"/><Relationship Id="rId42" Type="http://schemas.openxmlformats.org/officeDocument/2006/relationships/hyperlink" Target="https://d-infra.ier.hit-u.ac.jp/Japanese/govstat-database/statistical-yb/1887/tab_jpeg/1887_036.jpg" TargetMode="External"/><Relationship Id="rId47" Type="http://schemas.openxmlformats.org/officeDocument/2006/relationships/hyperlink" Target="https://dl.ndl.go.jp/pid/807361/1/81" TargetMode="External"/><Relationship Id="rId50" Type="http://schemas.openxmlformats.org/officeDocument/2006/relationships/hyperlink" Target="https://dl.ndl.go.jp/pid/807362/1/89" TargetMode="External"/><Relationship Id="rId55" Type="http://schemas.openxmlformats.org/officeDocument/2006/relationships/hyperlink" Target="https://dl.ndl.go.jp/pid/807864/1/146" TargetMode="External"/><Relationship Id="rId7" Type="http://schemas.openxmlformats.org/officeDocument/2006/relationships/hyperlink" Target="https://dl.ndl.go.jp/pid/806993/1/75" TargetMode="External"/><Relationship Id="rId2" Type="http://schemas.openxmlformats.org/officeDocument/2006/relationships/hyperlink" Target="https://dl.ndl.go.jp/pid/972457/1/68" TargetMode="External"/><Relationship Id="rId16" Type="http://schemas.openxmlformats.org/officeDocument/2006/relationships/hyperlink" Target="https://dl.ndl.go.jp/pid/805935/1/9" TargetMode="External"/><Relationship Id="rId29" Type="http://schemas.openxmlformats.org/officeDocument/2006/relationships/hyperlink" Target="https://d-infra.ier.hit-u.ac.jp/Japanese/govstat-database/statistical-yb/1889/tab_jpeg/1889_029.jpg" TargetMode="External"/><Relationship Id="rId11" Type="http://schemas.openxmlformats.org/officeDocument/2006/relationships/hyperlink" Target="https://dl.ndl.go.jp/pid/972549/1/65" TargetMode="External"/><Relationship Id="rId24" Type="http://schemas.openxmlformats.org/officeDocument/2006/relationships/hyperlink" Target="https://d-infra.ier.hit-u.ac.jp/Japanese/govstat-database/statistical-yb/1884/tab_jpeg/1884_038.jpg" TargetMode="External"/><Relationship Id="rId32" Type="http://schemas.openxmlformats.org/officeDocument/2006/relationships/hyperlink" Target="https://dl.ndl.go.jp/pid/3021886/1/268" TargetMode="External"/><Relationship Id="rId37" Type="http://schemas.openxmlformats.org/officeDocument/2006/relationships/hyperlink" Target="https://dl.ndl.go.jp/pid/806978/1/13" TargetMode="External"/><Relationship Id="rId40" Type="http://schemas.openxmlformats.org/officeDocument/2006/relationships/hyperlink" Target="https://dl.ndl.go.jp/pid/1573257/1/30" TargetMode="External"/><Relationship Id="rId45" Type="http://schemas.openxmlformats.org/officeDocument/2006/relationships/hyperlink" Target="https://d-infra.ier.hit-u.ac.jp/Japanese/govstat-database/statistical-yb/1900/tab_jpeg/1900_034.jpg" TargetMode="External"/><Relationship Id="rId53" Type="http://schemas.openxmlformats.org/officeDocument/2006/relationships/hyperlink" Target="https://dl.ndl.go.jp/pid/807353/1/52" TargetMode="External"/><Relationship Id="rId58" Type="http://schemas.openxmlformats.org/officeDocument/2006/relationships/hyperlink" Target="https://dl.ndl.go.jp/pid/972833/1/28" TargetMode="External"/><Relationship Id="rId5" Type="http://schemas.openxmlformats.org/officeDocument/2006/relationships/hyperlink" Target="https://dl.ndl.go.jp/pid/806996/1/72" TargetMode="External"/><Relationship Id="rId19" Type="http://schemas.openxmlformats.org/officeDocument/2006/relationships/hyperlink" Target="https://dl.ndl.go.jp/pid/805976/1/37" TargetMode="External"/><Relationship Id="rId4" Type="http://schemas.openxmlformats.org/officeDocument/2006/relationships/hyperlink" Target="https://dl.ndl.go.jp/pid/806999/1/29" TargetMode="External"/><Relationship Id="rId9" Type="http://schemas.openxmlformats.org/officeDocument/2006/relationships/hyperlink" Target="https://dl.ndl.go.jp/pid/972545/1/63" TargetMode="External"/><Relationship Id="rId14" Type="http://schemas.openxmlformats.org/officeDocument/2006/relationships/hyperlink" Target="https://dl.ndl.go.jp/pid/972555/1/11" TargetMode="External"/><Relationship Id="rId22" Type="http://schemas.openxmlformats.org/officeDocument/2006/relationships/hyperlink" Target="https://d-infra.ier.hit-u.ac.jp/Japanese/govstat-database/xbrowser.html?r-path=statistical-yb/1882/tab_xlsx/1882_02_t002.xlsx&amp;date=20240215231945" TargetMode="External"/><Relationship Id="rId27" Type="http://schemas.openxmlformats.org/officeDocument/2006/relationships/hyperlink" Target="https://d-infra.ier.hit-u.ac.jp/Japanese/govstat-database/statistical-yb/1887/tab_jpeg/1887_036.jpg" TargetMode="External"/><Relationship Id="rId30" Type="http://schemas.openxmlformats.org/officeDocument/2006/relationships/hyperlink" Target="https://d-infra.ier.hit-u.ac.jp/Japanese/govstat-database/xbrowser.html?r-path=statistical-yb/1892/tab_xlsx/1892_t015.xlsx&amp;date=20240215231945" TargetMode="External"/><Relationship Id="rId35" Type="http://schemas.openxmlformats.org/officeDocument/2006/relationships/hyperlink" Target="https://dl.ndl.go.jp/pid/806800/1/11" TargetMode="External"/><Relationship Id="rId43" Type="http://schemas.openxmlformats.org/officeDocument/2006/relationships/hyperlink" Target="https://d-infra.ier.hit-u.ac.jp/Japanese/govstat-database/statistical-yb/1886/tab_jpeg/1886_037.jpg" TargetMode="External"/><Relationship Id="rId48" Type="http://schemas.openxmlformats.org/officeDocument/2006/relationships/hyperlink" Target="https://dl.ndl.go.jp/pid/972543/1/81" TargetMode="External"/><Relationship Id="rId56" Type="http://schemas.openxmlformats.org/officeDocument/2006/relationships/hyperlink" Target="https://dl.ndl.go.jp/pid/807855/1/18" TargetMode="External"/><Relationship Id="rId8" Type="http://schemas.openxmlformats.org/officeDocument/2006/relationships/hyperlink" Target="https://dl.ndl.go.jp/pid/806997/1/83" TargetMode="External"/><Relationship Id="rId51" Type="http://schemas.openxmlformats.org/officeDocument/2006/relationships/hyperlink" Target="https://dl.ndl.go.jp/pid/807359/1/65" TargetMode="External"/><Relationship Id="rId3" Type="http://schemas.openxmlformats.org/officeDocument/2006/relationships/hyperlink" Target="https://dl.ndl.go.jp/pid/972468/1/62" TargetMode="External"/><Relationship Id="rId12" Type="http://schemas.openxmlformats.org/officeDocument/2006/relationships/hyperlink" Target="https://dl.ndl.go.jp/pid/972551/1/51" TargetMode="External"/><Relationship Id="rId17" Type="http://schemas.openxmlformats.org/officeDocument/2006/relationships/hyperlink" Target="https://dl.ndl.go.jp/pid/806018/1/161" TargetMode="External"/><Relationship Id="rId25" Type="http://schemas.openxmlformats.org/officeDocument/2006/relationships/hyperlink" Target="https://d-infra.ier.hit-u.ac.jp/Japanese/govstat-database/statistical-yb/1886/tab_jpeg/1886_037.jpg" TargetMode="External"/><Relationship Id="rId33" Type="http://schemas.openxmlformats.org/officeDocument/2006/relationships/hyperlink" Target="https://dl.ndl.go.jp/pid/907062/1/18" TargetMode="External"/><Relationship Id="rId38" Type="http://schemas.openxmlformats.org/officeDocument/2006/relationships/hyperlink" Target="https://dl.ndl.go.jp/pid/916522/1/26" TargetMode="External"/><Relationship Id="rId46" Type="http://schemas.openxmlformats.org/officeDocument/2006/relationships/hyperlink" Target="https://dl.ndl.go.jp/pid/807354/1/51" TargetMode="External"/><Relationship Id="rId59" Type="http://schemas.openxmlformats.org/officeDocument/2006/relationships/hyperlink" Target="https://dl.ndl.go.jp/pid/972835/1/33" TargetMode="External"/><Relationship Id="rId20" Type="http://schemas.openxmlformats.org/officeDocument/2006/relationships/hyperlink" Target="https://dl.ndl.go.jp/pid/805974/1/32" TargetMode="External"/><Relationship Id="rId41" Type="http://schemas.openxmlformats.org/officeDocument/2006/relationships/hyperlink" Target="https://d-infra.ier.hit-u.ac.jp/Japanese/govstat-database/statistical-yb/1890/tab_jpeg/1890_029.jpg" TargetMode="External"/><Relationship Id="rId54" Type="http://schemas.openxmlformats.org/officeDocument/2006/relationships/hyperlink" Target="https://dl.ndl.go.jp/pid/807358/1/42" TargetMode="External"/><Relationship Id="rId1" Type="http://schemas.openxmlformats.org/officeDocument/2006/relationships/hyperlink" Target="https://dl.ndl.go.jp/pid/806994/1/34" TargetMode="External"/><Relationship Id="rId6" Type="http://schemas.openxmlformats.org/officeDocument/2006/relationships/hyperlink" Target="https://dl.ndl.go.jp/pid/806995/1/63" TargetMode="External"/><Relationship Id="rId15" Type="http://schemas.openxmlformats.org/officeDocument/2006/relationships/hyperlink" Target="https://dl.ndl.go.jp/pid/972570/1/12" TargetMode="External"/><Relationship Id="rId23" Type="http://schemas.openxmlformats.org/officeDocument/2006/relationships/hyperlink" Target="https://d-infra.ier.hit-u.ac.jp/Japanese/govstat-database/statistical-yb/1914/tab_jpeg/1914_040.jpg" TargetMode="External"/><Relationship Id="rId28" Type="http://schemas.openxmlformats.org/officeDocument/2006/relationships/hyperlink" Target="https://d-infra.ier.hit-u.ac.jp/Japanese/govstat-database/statistical-yb/1890/tab_jpeg/1890_030.jpg" TargetMode="External"/><Relationship Id="rId36" Type="http://schemas.openxmlformats.org/officeDocument/2006/relationships/hyperlink" Target="https://dl.ndl.go.jp/pid/1573176/1/15" TargetMode="External"/><Relationship Id="rId49" Type="http://schemas.openxmlformats.org/officeDocument/2006/relationships/hyperlink" Target="https://dl.ndl.go.jp/pid/807363/1/93" TargetMode="External"/><Relationship Id="rId57" Type="http://schemas.openxmlformats.org/officeDocument/2006/relationships/hyperlink" Target="https://dl.ndl.go.jp/pid/807865/1/39" TargetMode="External"/><Relationship Id="rId10" Type="http://schemas.openxmlformats.org/officeDocument/2006/relationships/hyperlink" Target="https://dl.ndl.go.jp/pid/972547/1/62" TargetMode="External"/><Relationship Id="rId31" Type="http://schemas.openxmlformats.org/officeDocument/2006/relationships/hyperlink" Target="https://dl.ndl.go.jp/pid/805975/1/48" TargetMode="External"/><Relationship Id="rId44" Type="http://schemas.openxmlformats.org/officeDocument/2006/relationships/hyperlink" Target="https://d-infra.ier.hit-u.ac.jp/Japanese/govstat-database/statistical-yb/1897/tab_jpeg/1897_032.jpg" TargetMode="External"/><Relationship Id="rId52" Type="http://schemas.openxmlformats.org/officeDocument/2006/relationships/hyperlink" Target="https://dl.ndl.go.jp/pid/807360/1/70" TargetMode="External"/><Relationship Id="rId60" Type="http://schemas.openxmlformats.org/officeDocument/2006/relationships/hyperlink" Target="https://dl.ndl.go.jp/pid/807858/1/32"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l.ndl.go.jp/pid/972464/1/61" TargetMode="External"/><Relationship Id="rId13" Type="http://schemas.openxmlformats.org/officeDocument/2006/relationships/hyperlink" Target="https://dl.ndl.go.jp/pid/807007/1/137" TargetMode="External"/><Relationship Id="rId3" Type="http://schemas.openxmlformats.org/officeDocument/2006/relationships/hyperlink" Target="https://dl.ndl.go.jp/pid/807008/1/180" TargetMode="External"/><Relationship Id="rId7" Type="http://schemas.openxmlformats.org/officeDocument/2006/relationships/hyperlink" Target="https://dl.ndl.go.jp/pid/972460/1/229" TargetMode="External"/><Relationship Id="rId12" Type="http://schemas.openxmlformats.org/officeDocument/2006/relationships/hyperlink" Target="https://dl.ndl.go.jp/pid/972444/1/133" TargetMode="External"/><Relationship Id="rId2" Type="http://schemas.openxmlformats.org/officeDocument/2006/relationships/hyperlink" Target="https://dl.ndl.go.jp/pid/972467/1/321" TargetMode="External"/><Relationship Id="rId1" Type="http://schemas.openxmlformats.org/officeDocument/2006/relationships/hyperlink" Target="https://dl.ndl.go.jp/pid/972466/1/371" TargetMode="External"/><Relationship Id="rId6" Type="http://schemas.openxmlformats.org/officeDocument/2006/relationships/hyperlink" Target="https://dl.ndl.go.jp/pid/972457/1/106" TargetMode="External"/><Relationship Id="rId11" Type="http://schemas.openxmlformats.org/officeDocument/2006/relationships/hyperlink" Target="https://dl.ndl.go.jp/pid/972448/1/165" TargetMode="External"/><Relationship Id="rId5" Type="http://schemas.openxmlformats.org/officeDocument/2006/relationships/hyperlink" Target="https://dl.ndl.go.jp/pid/807004/1/174" TargetMode="External"/><Relationship Id="rId10" Type="http://schemas.openxmlformats.org/officeDocument/2006/relationships/hyperlink" Target="https://dl.ndl.go.jp/pid/972452/1/297" TargetMode="External"/><Relationship Id="rId4" Type="http://schemas.openxmlformats.org/officeDocument/2006/relationships/hyperlink" Target="https://dl.ndl.go.jp/pid/807003/1/203" TargetMode="External"/><Relationship Id="rId9" Type="http://schemas.openxmlformats.org/officeDocument/2006/relationships/hyperlink" Target="https://dl.ndl.go.jp/pid/972465/1/406" TargetMode="External"/><Relationship Id="rId14" Type="http://schemas.openxmlformats.org/officeDocument/2006/relationships/hyperlink" Target="https://dl.ndl.go.jp/pid/972441/1/79"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dl.ndl.go.jp/pid/1682600" TargetMode="External"/><Relationship Id="rId1" Type="http://schemas.openxmlformats.org/officeDocument/2006/relationships/hyperlink" Target="https://dl.ndl.go.jp/pid/1682602"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l.ndl.go.jp/pid/1682600/1/312" TargetMode="External"/><Relationship Id="rId13" Type="http://schemas.openxmlformats.org/officeDocument/2006/relationships/hyperlink" Target="https://dl.ndl.go.jp/pid/2954704/1/10" TargetMode="External"/><Relationship Id="rId3" Type="http://schemas.openxmlformats.org/officeDocument/2006/relationships/hyperlink" Target="https://dl.ndl.go.jp/pid/1337808/1/324" TargetMode="External"/><Relationship Id="rId7" Type="http://schemas.openxmlformats.org/officeDocument/2006/relationships/hyperlink" Target="https://dl.ndl.go.jp/pid/1674807/1/88" TargetMode="External"/><Relationship Id="rId12" Type="http://schemas.openxmlformats.org/officeDocument/2006/relationships/hyperlink" Target="https://dl.ndl.go.jp/pid/2954379/1/6" TargetMode="External"/><Relationship Id="rId2" Type="http://schemas.openxmlformats.org/officeDocument/2006/relationships/hyperlink" Target="https://dl.ndl.go.jp/pid/1337812/1/302" TargetMode="External"/><Relationship Id="rId1" Type="http://schemas.openxmlformats.org/officeDocument/2006/relationships/hyperlink" Target="https://dl.ndl.go.jp/pid/1335177/1/486" TargetMode="External"/><Relationship Id="rId6" Type="http://schemas.openxmlformats.org/officeDocument/2006/relationships/hyperlink" Target="https://dl.ndl.go.jp/pid/1674829/1/45" TargetMode="External"/><Relationship Id="rId11" Type="http://schemas.openxmlformats.org/officeDocument/2006/relationships/hyperlink" Target="https://dl.ndl.go.jp/pid/1269151/1/337" TargetMode="External"/><Relationship Id="rId5" Type="http://schemas.openxmlformats.org/officeDocument/2006/relationships/hyperlink" Target="https://dl.ndl.go.jp/pid/1351801/1/566" TargetMode="External"/><Relationship Id="rId15" Type="http://schemas.openxmlformats.org/officeDocument/2006/relationships/printerSettings" Target="../printerSettings/printerSettings3.bin"/><Relationship Id="rId10" Type="http://schemas.openxmlformats.org/officeDocument/2006/relationships/hyperlink" Target="https://dl.ndl.go.jp/pid/1448181/1/954" TargetMode="External"/><Relationship Id="rId4" Type="http://schemas.openxmlformats.org/officeDocument/2006/relationships/hyperlink" Target="https://dl.ndl.go.jp/pid/1682602/1/358" TargetMode="External"/><Relationship Id="rId9" Type="http://schemas.openxmlformats.org/officeDocument/2006/relationships/hyperlink" Target="https://dl.ndl.go.jp/pid/1351250/1/72" TargetMode="External"/><Relationship Id="rId14" Type="http://schemas.openxmlformats.org/officeDocument/2006/relationships/hyperlink" Target="https://dl.ndl.go.jp/pid/2954705/1/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BA8E3-BF44-4272-B97E-DB324AE77158}">
  <dimension ref="A1:T46"/>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18" x14ac:dyDescent="0.45"/>
  <cols>
    <col min="1" max="1" width="14.59765625" style="2" bestFit="1" customWidth="1"/>
    <col min="2" max="2" width="5.3984375" style="2" bestFit="1" customWidth="1"/>
    <col min="3" max="17" width="12" customWidth="1"/>
    <col min="18" max="18" width="13.796875" bestFit="1" customWidth="1"/>
  </cols>
  <sheetData>
    <row r="1" spans="1:20" s="2" customFormat="1" x14ac:dyDescent="0.45">
      <c r="C1" s="4" t="s">
        <v>195</v>
      </c>
      <c r="D1" s="4" t="s">
        <v>157</v>
      </c>
      <c r="E1" s="4" t="s">
        <v>165</v>
      </c>
      <c r="F1" s="4" t="s">
        <v>43</v>
      </c>
      <c r="G1" s="4" t="s">
        <v>164</v>
      </c>
      <c r="H1" s="4" t="s">
        <v>44</v>
      </c>
      <c r="I1" s="4" t="s">
        <v>151</v>
      </c>
      <c r="J1" s="4" t="s">
        <v>152</v>
      </c>
      <c r="K1" s="4" t="s">
        <v>153</v>
      </c>
      <c r="L1" s="4" t="s">
        <v>154</v>
      </c>
      <c r="M1" s="4" t="s">
        <v>166</v>
      </c>
      <c r="O1" s="4" t="s">
        <v>198</v>
      </c>
      <c r="P1" s="4" t="s">
        <v>196</v>
      </c>
      <c r="Q1" s="4" t="s">
        <v>197</v>
      </c>
      <c r="R1" s="4" t="s">
        <v>216</v>
      </c>
      <c r="T1" s="4" t="s">
        <v>230</v>
      </c>
    </row>
    <row r="2" spans="1:20" x14ac:dyDescent="0.45">
      <c r="A2" s="2" t="s">
        <v>83</v>
      </c>
      <c r="B2" s="2">
        <v>1877</v>
      </c>
      <c r="C2" s="3"/>
      <c r="D2" s="3"/>
      <c r="E2" s="3"/>
      <c r="F2" s="3"/>
      <c r="G2" s="3"/>
      <c r="H2" s="3"/>
      <c r="I2" s="3"/>
      <c r="J2" s="3"/>
      <c r="K2" s="3"/>
      <c r="L2" s="3"/>
      <c r="M2" s="3"/>
      <c r="O2" s="3"/>
      <c r="P2" s="3"/>
      <c r="Q2" s="3"/>
      <c r="R2" s="3"/>
      <c r="T2" s="3"/>
    </row>
    <row r="3" spans="1:20" x14ac:dyDescent="0.45">
      <c r="A3" s="2" t="s">
        <v>84</v>
      </c>
      <c r="B3" s="2">
        <v>1878</v>
      </c>
      <c r="C3" s="3"/>
      <c r="D3" s="3"/>
      <c r="E3" s="3"/>
      <c r="F3" s="3"/>
      <c r="G3" s="3"/>
      <c r="H3" s="3"/>
      <c r="I3" s="3"/>
      <c r="J3" s="3"/>
      <c r="K3" s="3"/>
      <c r="L3" s="3"/>
      <c r="M3" s="3"/>
      <c r="O3" s="3"/>
      <c r="P3" s="3"/>
      <c r="Q3" s="3"/>
      <c r="R3" s="3"/>
      <c r="T3" s="3"/>
    </row>
    <row r="4" spans="1:20" x14ac:dyDescent="0.45">
      <c r="A4" s="2" t="s">
        <v>85</v>
      </c>
      <c r="B4" s="2">
        <v>1879</v>
      </c>
      <c r="C4" s="3">
        <v>106143</v>
      </c>
      <c r="D4" s="3"/>
      <c r="E4" s="3"/>
      <c r="F4" s="3"/>
      <c r="G4" s="3"/>
      <c r="H4" s="3"/>
      <c r="I4" s="3"/>
      <c r="J4" s="3"/>
      <c r="K4" s="3"/>
      <c r="L4" s="3"/>
      <c r="M4" s="3"/>
      <c r="O4" s="3">
        <v>173564</v>
      </c>
      <c r="P4" s="3"/>
      <c r="Q4" s="3"/>
      <c r="R4" s="3"/>
      <c r="T4" s="3"/>
    </row>
    <row r="5" spans="1:20" x14ac:dyDescent="0.45">
      <c r="A5" s="2" t="s">
        <v>86</v>
      </c>
      <c r="B5" s="2">
        <v>1880</v>
      </c>
      <c r="C5" s="3">
        <v>105496</v>
      </c>
      <c r="D5" s="3"/>
      <c r="E5" s="3"/>
      <c r="F5" s="3"/>
      <c r="G5" s="3"/>
      <c r="H5" s="3">
        <v>12593</v>
      </c>
      <c r="I5" s="3"/>
      <c r="J5" s="3"/>
      <c r="K5" s="3"/>
      <c r="L5" s="3"/>
      <c r="M5" s="3"/>
      <c r="N5" s="13"/>
      <c r="O5" s="3">
        <v>177353</v>
      </c>
      <c r="P5" s="3"/>
      <c r="Q5" s="3"/>
      <c r="R5" s="3"/>
      <c r="T5" s="3"/>
    </row>
    <row r="6" spans="1:20" x14ac:dyDescent="0.45">
      <c r="A6" s="2" t="s">
        <v>87</v>
      </c>
      <c r="B6" s="2">
        <v>1881</v>
      </c>
      <c r="C6" s="3">
        <v>105842</v>
      </c>
      <c r="D6" s="3"/>
      <c r="E6" s="3"/>
      <c r="F6" s="3"/>
      <c r="G6" s="3"/>
      <c r="H6" s="3">
        <v>12217</v>
      </c>
      <c r="I6" s="3"/>
      <c r="J6" s="3"/>
      <c r="K6" s="3"/>
      <c r="L6" s="3"/>
      <c r="M6" s="3"/>
      <c r="N6" s="13"/>
      <c r="O6" s="3">
        <v>179775</v>
      </c>
      <c r="P6" s="3"/>
      <c r="Q6" s="3"/>
      <c r="R6" s="3"/>
      <c r="T6" s="3"/>
    </row>
    <row r="7" spans="1:20" x14ac:dyDescent="0.45">
      <c r="A7" s="2" t="s">
        <v>88</v>
      </c>
      <c r="B7" s="2">
        <v>1882</v>
      </c>
      <c r="C7" s="3">
        <v>105241</v>
      </c>
      <c r="D7" s="3"/>
      <c r="E7" s="3"/>
      <c r="F7" s="3"/>
      <c r="G7" s="3"/>
      <c r="H7" s="3"/>
      <c r="I7" s="3"/>
      <c r="J7" s="3"/>
      <c r="K7" s="3"/>
      <c r="L7" s="3"/>
      <c r="M7" s="3"/>
      <c r="N7" s="13"/>
      <c r="O7" s="3">
        <v>181179</v>
      </c>
      <c r="P7" s="3"/>
      <c r="Q7" s="3"/>
      <c r="R7" s="3"/>
      <c r="T7" s="3"/>
    </row>
    <row r="8" spans="1:20" x14ac:dyDescent="0.45">
      <c r="A8" s="2" t="s">
        <v>89</v>
      </c>
      <c r="B8" s="2">
        <v>1883</v>
      </c>
      <c r="C8" s="3">
        <v>106280</v>
      </c>
      <c r="D8" s="3"/>
      <c r="E8" s="3"/>
      <c r="F8" s="3"/>
      <c r="G8" s="3"/>
      <c r="H8" s="3"/>
      <c r="I8" s="3"/>
      <c r="J8" s="3"/>
      <c r="K8" s="3"/>
      <c r="L8" s="3"/>
      <c r="M8" s="3"/>
      <c r="N8" s="13"/>
      <c r="O8" s="3">
        <v>182875</v>
      </c>
      <c r="P8" s="3"/>
      <c r="Q8" s="3"/>
      <c r="R8" s="3"/>
      <c r="T8" s="3">
        <v>363468</v>
      </c>
    </row>
    <row r="9" spans="1:20" x14ac:dyDescent="0.45">
      <c r="A9" s="2" t="s">
        <v>90</v>
      </c>
      <c r="B9" s="2">
        <v>1884</v>
      </c>
      <c r="C9" s="3">
        <v>106937</v>
      </c>
      <c r="D9" s="3"/>
      <c r="E9" s="3"/>
      <c r="F9" s="3"/>
      <c r="G9" s="3"/>
      <c r="H9" s="3"/>
      <c r="I9" s="3"/>
      <c r="J9" s="3"/>
      <c r="K9" s="3"/>
      <c r="L9" s="3"/>
      <c r="M9" s="3"/>
      <c r="N9" s="13"/>
      <c r="O9" s="3">
        <v>186022</v>
      </c>
      <c r="P9" s="3">
        <v>111375</v>
      </c>
      <c r="Q9" s="3">
        <v>73462</v>
      </c>
      <c r="R9" s="3">
        <f t="shared" ref="R9" si="0">P9+Q9</f>
        <v>184837</v>
      </c>
      <c r="T9" s="3"/>
    </row>
    <row r="10" spans="1:20" x14ac:dyDescent="0.45">
      <c r="A10" s="2" t="s">
        <v>91</v>
      </c>
      <c r="B10" s="2">
        <v>1885</v>
      </c>
      <c r="C10" s="3">
        <v>106937</v>
      </c>
      <c r="D10" s="3"/>
      <c r="E10" s="3"/>
      <c r="F10" s="3"/>
      <c r="G10" s="3"/>
      <c r="H10" s="3"/>
      <c r="I10" s="3"/>
      <c r="J10" s="3"/>
      <c r="K10" s="3"/>
      <c r="L10" s="3"/>
      <c r="M10" s="3"/>
      <c r="N10" s="13"/>
      <c r="O10" s="3">
        <v>187161</v>
      </c>
      <c r="P10" s="3">
        <v>111771</v>
      </c>
      <c r="Q10" s="3">
        <v>72932</v>
      </c>
      <c r="R10" s="3">
        <f>P10+Q10</f>
        <v>184703</v>
      </c>
      <c r="T10" s="3"/>
    </row>
    <row r="11" spans="1:20" x14ac:dyDescent="0.45">
      <c r="A11" s="2" t="s">
        <v>92</v>
      </c>
      <c r="B11" s="2">
        <v>1886</v>
      </c>
      <c r="C11" s="3">
        <v>107833</v>
      </c>
      <c r="D11" s="3"/>
      <c r="E11" s="3"/>
      <c r="F11" s="3"/>
      <c r="G11" s="3"/>
      <c r="H11" s="3">
        <v>10704</v>
      </c>
      <c r="I11" s="3"/>
      <c r="J11" s="3"/>
      <c r="K11" s="3"/>
      <c r="L11" s="3"/>
      <c r="M11" s="3"/>
      <c r="N11" s="13"/>
      <c r="O11" s="3">
        <v>187050</v>
      </c>
      <c r="P11" s="3"/>
      <c r="Q11" s="3"/>
      <c r="R11" s="3"/>
      <c r="T11" s="3"/>
    </row>
    <row r="12" spans="1:20" x14ac:dyDescent="0.45">
      <c r="A12" s="2" t="s">
        <v>93</v>
      </c>
      <c r="B12" s="2">
        <v>1887</v>
      </c>
      <c r="C12" s="3">
        <v>109643</v>
      </c>
      <c r="D12" s="3"/>
      <c r="E12" s="3"/>
      <c r="F12" s="3"/>
      <c r="G12" s="3"/>
      <c r="H12" s="3">
        <v>11431</v>
      </c>
      <c r="I12" s="3"/>
      <c r="J12" s="3"/>
      <c r="K12" s="3"/>
      <c r="L12" s="3"/>
      <c r="M12" s="3"/>
      <c r="N12" s="13"/>
      <c r="O12" s="3">
        <v>187559</v>
      </c>
      <c r="P12" s="3">
        <v>111051</v>
      </c>
      <c r="Q12" s="3">
        <v>72712</v>
      </c>
      <c r="R12" s="3">
        <f>P12+Q12</f>
        <v>183763</v>
      </c>
      <c r="T12" s="3"/>
    </row>
    <row r="13" spans="1:20" x14ac:dyDescent="0.45">
      <c r="A13" s="2" t="s">
        <v>94</v>
      </c>
      <c r="B13" s="2">
        <v>1888</v>
      </c>
      <c r="C13" s="3">
        <v>110630</v>
      </c>
      <c r="D13" s="3">
        <v>1822</v>
      </c>
      <c r="E13" s="3"/>
      <c r="F13" s="3"/>
      <c r="G13" s="3"/>
      <c r="H13" s="3">
        <v>11552</v>
      </c>
      <c r="I13" s="3">
        <v>2569</v>
      </c>
      <c r="J13" s="3">
        <v>3408</v>
      </c>
      <c r="K13" s="3"/>
      <c r="L13" s="3"/>
      <c r="M13" s="3"/>
      <c r="N13" s="13"/>
      <c r="O13" s="3">
        <v>189265</v>
      </c>
      <c r="P13" s="3">
        <v>110884</v>
      </c>
      <c r="Q13" s="3">
        <v>72848</v>
      </c>
      <c r="R13" s="3">
        <f>P13+Q13</f>
        <v>183732</v>
      </c>
      <c r="T13" s="3">
        <v>374698</v>
      </c>
    </row>
    <row r="14" spans="1:20" x14ac:dyDescent="0.45">
      <c r="A14" s="2" t="s">
        <v>95</v>
      </c>
      <c r="B14" s="2">
        <v>1889</v>
      </c>
      <c r="C14" s="3">
        <v>110902</v>
      </c>
      <c r="D14" s="3"/>
      <c r="E14" s="3"/>
      <c r="F14" s="3"/>
      <c r="G14" s="3"/>
      <c r="H14" s="3">
        <v>13249</v>
      </c>
      <c r="I14" s="3"/>
      <c r="J14" s="3"/>
      <c r="K14" s="3"/>
      <c r="L14" s="3"/>
      <c r="M14" s="3"/>
      <c r="N14" s="13"/>
      <c r="O14" s="3">
        <v>190052</v>
      </c>
      <c r="P14" s="3">
        <v>113236</v>
      </c>
      <c r="Q14" s="3">
        <v>73162</v>
      </c>
      <c r="R14" s="3">
        <f t="shared" ref="R14:R46" si="1">P14+Q14</f>
        <v>186398</v>
      </c>
      <c r="T14" s="3">
        <v>382767</v>
      </c>
    </row>
    <row r="15" spans="1:20" x14ac:dyDescent="0.45">
      <c r="A15" s="2" t="s">
        <v>96</v>
      </c>
      <c r="B15" s="2">
        <v>1890</v>
      </c>
      <c r="C15" s="3">
        <v>111633</v>
      </c>
      <c r="D15" s="3"/>
      <c r="E15" s="3"/>
      <c r="F15" s="3"/>
      <c r="G15" s="3"/>
      <c r="H15" s="3">
        <v>12592</v>
      </c>
      <c r="I15" s="3"/>
      <c r="J15" s="3"/>
      <c r="K15" s="3"/>
      <c r="L15" s="3"/>
      <c r="M15" s="3"/>
      <c r="N15" s="13"/>
      <c r="O15" s="3">
        <v>190195</v>
      </c>
      <c r="P15" s="3">
        <v>112842</v>
      </c>
      <c r="Q15" s="3">
        <v>73201</v>
      </c>
      <c r="R15" s="3">
        <f t="shared" si="1"/>
        <v>186043</v>
      </c>
      <c r="T15" s="3">
        <v>409386</v>
      </c>
    </row>
    <row r="16" spans="1:20" x14ac:dyDescent="0.45">
      <c r="A16" s="2" t="s">
        <v>97</v>
      </c>
      <c r="B16" s="2">
        <v>1891</v>
      </c>
      <c r="C16" s="3">
        <v>111744</v>
      </c>
      <c r="D16" s="3"/>
      <c r="E16" s="3"/>
      <c r="F16" s="3"/>
      <c r="G16" s="3"/>
      <c r="H16" s="3">
        <v>13853</v>
      </c>
      <c r="I16" s="3"/>
      <c r="J16" s="3"/>
      <c r="K16" s="3"/>
      <c r="L16" s="3"/>
      <c r="M16" s="3"/>
      <c r="N16" s="13"/>
      <c r="O16" s="3">
        <v>190217</v>
      </c>
      <c r="P16" s="3">
        <v>112633</v>
      </c>
      <c r="Q16" s="3">
        <v>72818</v>
      </c>
      <c r="R16" s="3">
        <f t="shared" si="1"/>
        <v>185451</v>
      </c>
      <c r="T16" s="3">
        <v>414830</v>
      </c>
    </row>
    <row r="17" spans="1:20" x14ac:dyDescent="0.45">
      <c r="A17" s="2" t="s">
        <v>98</v>
      </c>
      <c r="B17" s="2">
        <v>1892</v>
      </c>
      <c r="C17" s="3">
        <v>112117</v>
      </c>
      <c r="D17" s="3"/>
      <c r="E17" s="3"/>
      <c r="F17" s="3"/>
      <c r="G17" s="3"/>
      <c r="H17" s="3">
        <v>14080</v>
      </c>
      <c r="I17" s="3"/>
      <c r="J17" s="3"/>
      <c r="K17" s="3"/>
      <c r="L17" s="3"/>
      <c r="M17" s="3"/>
      <c r="N17" s="13"/>
      <c r="O17" s="3">
        <v>190712</v>
      </c>
      <c r="P17" s="3"/>
      <c r="Q17" s="3"/>
      <c r="R17" s="3"/>
      <c r="T17" s="3">
        <v>423288</v>
      </c>
    </row>
    <row r="18" spans="1:20" x14ac:dyDescent="0.45">
      <c r="A18" s="2" t="s">
        <v>99</v>
      </c>
      <c r="B18" s="2">
        <v>1893</v>
      </c>
      <c r="C18" s="3">
        <v>112290</v>
      </c>
      <c r="D18" s="3"/>
      <c r="E18" s="3"/>
      <c r="F18" s="3"/>
      <c r="G18" s="3"/>
      <c r="H18" s="3">
        <v>15591</v>
      </c>
      <c r="I18" s="3"/>
      <c r="J18" s="3"/>
      <c r="K18" s="3"/>
      <c r="L18" s="3"/>
      <c r="M18" s="3"/>
      <c r="N18" s="13"/>
      <c r="O18" s="3">
        <v>189458</v>
      </c>
      <c r="P18" s="3"/>
      <c r="Q18" s="3"/>
      <c r="R18" s="3"/>
      <c r="T18" s="3"/>
    </row>
    <row r="19" spans="1:20" x14ac:dyDescent="0.45">
      <c r="A19" s="2" t="s">
        <v>100</v>
      </c>
      <c r="B19" s="2">
        <v>1894</v>
      </c>
      <c r="C19" s="3">
        <v>113785</v>
      </c>
      <c r="D19" s="3">
        <v>1974</v>
      </c>
      <c r="E19" s="3">
        <v>2727</v>
      </c>
      <c r="F19" s="3">
        <v>2169</v>
      </c>
      <c r="G19" s="3">
        <v>1615</v>
      </c>
      <c r="H19" s="3">
        <v>15289</v>
      </c>
      <c r="I19" s="3">
        <v>2513</v>
      </c>
      <c r="J19" s="3">
        <v>3557</v>
      </c>
      <c r="K19" s="3">
        <v>1286</v>
      </c>
      <c r="L19" s="3">
        <v>4342</v>
      </c>
      <c r="M19" s="3"/>
      <c r="N19" s="13"/>
      <c r="O19" s="3">
        <v>189190</v>
      </c>
      <c r="P19" s="3"/>
      <c r="Q19" s="3"/>
      <c r="R19" s="3"/>
      <c r="T19" s="3"/>
    </row>
    <row r="20" spans="1:20" x14ac:dyDescent="0.45">
      <c r="A20" s="2" t="s">
        <v>101</v>
      </c>
      <c r="B20" s="2">
        <v>1895</v>
      </c>
      <c r="C20" s="3">
        <v>113439</v>
      </c>
      <c r="D20" s="3"/>
      <c r="E20" s="3"/>
      <c r="F20" s="3"/>
      <c r="G20" s="3"/>
      <c r="H20" s="3">
        <v>15472</v>
      </c>
      <c r="I20" s="3"/>
      <c r="J20" s="3"/>
      <c r="K20" s="3"/>
      <c r="L20" s="3"/>
      <c r="M20" s="3"/>
      <c r="N20" s="13"/>
      <c r="O20" s="3">
        <v>189485</v>
      </c>
      <c r="P20" s="3"/>
      <c r="Q20" s="3"/>
      <c r="R20" s="3"/>
      <c r="T20" s="3"/>
    </row>
    <row r="21" spans="1:20" x14ac:dyDescent="0.45">
      <c r="A21" s="2" t="s">
        <v>102</v>
      </c>
      <c r="B21" s="2">
        <v>1896</v>
      </c>
      <c r="C21" s="3">
        <v>113719</v>
      </c>
      <c r="D21" s="3"/>
      <c r="E21" s="3"/>
      <c r="F21" s="3"/>
      <c r="G21" s="3"/>
      <c r="H21" s="3">
        <v>14274</v>
      </c>
      <c r="I21" s="3"/>
      <c r="J21" s="3"/>
      <c r="K21" s="3"/>
      <c r="L21" s="3"/>
      <c r="M21" s="3"/>
      <c r="N21" s="13"/>
      <c r="O21" s="3">
        <v>190771</v>
      </c>
      <c r="P21" s="3"/>
      <c r="Q21" s="3"/>
      <c r="R21" s="3"/>
      <c r="T21" s="3"/>
    </row>
    <row r="22" spans="1:20" x14ac:dyDescent="0.45">
      <c r="A22" s="2" t="s">
        <v>103</v>
      </c>
      <c r="B22" s="2">
        <v>1897</v>
      </c>
      <c r="C22" s="3">
        <v>114253</v>
      </c>
      <c r="D22" s="3"/>
      <c r="E22" s="3"/>
      <c r="F22" s="3"/>
      <c r="G22" s="3"/>
      <c r="H22" s="3">
        <v>14543</v>
      </c>
      <c r="I22" s="3"/>
      <c r="J22" s="3"/>
      <c r="K22" s="3"/>
      <c r="L22" s="3"/>
      <c r="M22" s="3"/>
      <c r="N22" s="13"/>
      <c r="O22" s="3">
        <v>192233</v>
      </c>
      <c r="P22" s="3"/>
      <c r="Q22" s="3"/>
      <c r="R22" s="3"/>
      <c r="T22" s="3"/>
    </row>
    <row r="23" spans="1:20" x14ac:dyDescent="0.45">
      <c r="A23" s="2" t="s">
        <v>104</v>
      </c>
      <c r="B23" s="2">
        <v>1898</v>
      </c>
      <c r="C23" s="3">
        <v>112738</v>
      </c>
      <c r="D23" s="3">
        <v>2004</v>
      </c>
      <c r="E23" s="3">
        <v>2525</v>
      </c>
      <c r="F23" s="3">
        <v>2235</v>
      </c>
      <c r="G23" s="3">
        <v>1645</v>
      </c>
      <c r="H23" s="3">
        <v>12499</v>
      </c>
      <c r="I23" s="3">
        <v>2549</v>
      </c>
      <c r="J23" s="3">
        <v>3567</v>
      </c>
      <c r="K23" s="3">
        <v>1405</v>
      </c>
      <c r="L23" s="3">
        <v>4465</v>
      </c>
      <c r="M23" s="3"/>
      <c r="N23" s="13"/>
      <c r="O23" s="3">
        <v>194710</v>
      </c>
      <c r="P23" s="3"/>
      <c r="Q23" s="3"/>
      <c r="R23" s="3"/>
      <c r="T23" s="3"/>
    </row>
    <row r="24" spans="1:20" x14ac:dyDescent="0.45">
      <c r="A24" s="2" t="s">
        <v>105</v>
      </c>
      <c r="B24" s="2">
        <v>1899</v>
      </c>
      <c r="C24" s="3"/>
      <c r="D24" s="3"/>
      <c r="E24" s="3"/>
      <c r="F24" s="3"/>
      <c r="G24" s="3"/>
      <c r="H24" s="3"/>
      <c r="I24" s="3"/>
      <c r="J24" s="3"/>
      <c r="K24" s="3"/>
      <c r="L24" s="3"/>
      <c r="M24" s="3"/>
      <c r="N24" s="13"/>
      <c r="O24" s="3"/>
      <c r="P24" s="3"/>
      <c r="Q24" s="3"/>
      <c r="R24" s="3"/>
      <c r="T24" s="3"/>
    </row>
    <row r="25" spans="1:20" x14ac:dyDescent="0.45">
      <c r="A25" s="2" t="s">
        <v>106</v>
      </c>
      <c r="B25" s="2">
        <v>1900</v>
      </c>
      <c r="C25" s="3">
        <v>114816</v>
      </c>
      <c r="D25" s="3"/>
      <c r="E25" s="3"/>
      <c r="F25" s="3"/>
      <c r="G25" s="3"/>
      <c r="H25" s="3"/>
      <c r="I25" s="3"/>
      <c r="J25" s="3"/>
      <c r="K25" s="3"/>
      <c r="L25" s="3"/>
      <c r="M25" s="3"/>
      <c r="N25" s="13"/>
      <c r="O25" s="3"/>
      <c r="P25" s="3">
        <v>118833</v>
      </c>
      <c r="Q25" s="3">
        <v>70936</v>
      </c>
      <c r="R25" s="3">
        <f>P25+Q25</f>
        <v>189769</v>
      </c>
      <c r="T25" s="3">
        <v>465470</v>
      </c>
    </row>
    <row r="26" spans="1:20" x14ac:dyDescent="0.45">
      <c r="A26" s="2" t="s">
        <v>107</v>
      </c>
      <c r="B26" s="2">
        <v>1901</v>
      </c>
      <c r="C26" s="3"/>
      <c r="D26" s="3"/>
      <c r="E26" s="3"/>
      <c r="F26" s="3"/>
      <c r="G26" s="3"/>
      <c r="H26" s="3"/>
      <c r="I26" s="3"/>
      <c r="J26" s="3"/>
      <c r="K26" s="3"/>
      <c r="L26" s="3"/>
      <c r="M26" s="3"/>
      <c r="N26" s="13"/>
      <c r="O26" s="3"/>
      <c r="P26" s="3">
        <v>119041</v>
      </c>
      <c r="Q26" s="3">
        <v>72010</v>
      </c>
      <c r="R26" s="3">
        <f t="shared" si="1"/>
        <v>191051</v>
      </c>
      <c r="T26" s="3">
        <v>467378</v>
      </c>
    </row>
    <row r="27" spans="1:20" x14ac:dyDescent="0.45">
      <c r="A27" s="2" t="s">
        <v>108</v>
      </c>
      <c r="B27" s="2">
        <v>1902</v>
      </c>
      <c r="C27" s="3">
        <v>111460</v>
      </c>
      <c r="D27" s="3"/>
      <c r="E27" s="3"/>
      <c r="F27" s="3"/>
      <c r="G27" s="3"/>
      <c r="H27" s="3"/>
      <c r="I27" s="3"/>
      <c r="J27" s="3"/>
      <c r="K27" s="3"/>
      <c r="L27" s="3"/>
      <c r="M27" s="3"/>
      <c r="N27" s="13"/>
      <c r="O27" s="3"/>
      <c r="P27" s="3">
        <v>118834</v>
      </c>
      <c r="Q27" s="3">
        <v>72294</v>
      </c>
      <c r="R27" s="3">
        <f>P27+Q27</f>
        <v>191128</v>
      </c>
      <c r="T27" s="3">
        <v>471145</v>
      </c>
    </row>
    <row r="28" spans="1:20" x14ac:dyDescent="0.45">
      <c r="A28" s="2" t="s">
        <v>109</v>
      </c>
      <c r="B28" s="2">
        <v>1903</v>
      </c>
      <c r="C28" s="3">
        <v>113572</v>
      </c>
      <c r="D28" s="3">
        <v>4910</v>
      </c>
      <c r="E28" s="3">
        <v>8884</v>
      </c>
      <c r="F28" s="3">
        <v>2284</v>
      </c>
      <c r="G28" s="3">
        <v>3738</v>
      </c>
      <c r="H28" s="3">
        <v>10930</v>
      </c>
      <c r="I28" s="3">
        <v>4595</v>
      </c>
      <c r="J28" s="3">
        <v>7456</v>
      </c>
      <c r="K28" s="3">
        <v>1500</v>
      </c>
      <c r="L28" s="3">
        <v>6558</v>
      </c>
      <c r="M28" s="3"/>
      <c r="N28" s="13"/>
      <c r="O28" s="3"/>
      <c r="P28" s="3">
        <v>120105</v>
      </c>
      <c r="Q28" s="3">
        <v>73278</v>
      </c>
      <c r="R28" s="3">
        <f t="shared" si="1"/>
        <v>193383</v>
      </c>
      <c r="T28" s="3">
        <v>475932</v>
      </c>
    </row>
    <row r="29" spans="1:20" x14ac:dyDescent="0.45">
      <c r="A29" s="2" t="s">
        <v>110</v>
      </c>
      <c r="B29" s="2">
        <v>1904</v>
      </c>
      <c r="C29" s="3">
        <v>111082</v>
      </c>
      <c r="D29" s="3"/>
      <c r="E29" s="3"/>
      <c r="F29" s="3"/>
      <c r="G29" s="3"/>
      <c r="H29" s="3"/>
      <c r="I29" s="3"/>
      <c r="J29" s="3"/>
      <c r="K29" s="3"/>
      <c r="L29" s="3"/>
      <c r="M29" s="3"/>
      <c r="N29" s="13"/>
      <c r="O29" s="3"/>
      <c r="P29" s="3">
        <v>119430</v>
      </c>
      <c r="Q29" s="3">
        <v>73291</v>
      </c>
      <c r="R29" s="3">
        <f t="shared" si="1"/>
        <v>192721</v>
      </c>
      <c r="T29" s="3">
        <v>481054</v>
      </c>
    </row>
    <row r="30" spans="1:20" x14ac:dyDescent="0.45">
      <c r="A30" s="2" t="s">
        <v>111</v>
      </c>
      <c r="B30" s="2">
        <v>1905</v>
      </c>
      <c r="C30" s="3">
        <v>111020</v>
      </c>
      <c r="D30" s="3"/>
      <c r="E30" s="3"/>
      <c r="F30" s="3"/>
      <c r="G30" s="3"/>
      <c r="H30" s="3"/>
      <c r="I30" s="3"/>
      <c r="J30" s="3"/>
      <c r="K30" s="3"/>
      <c r="L30" s="3"/>
      <c r="M30" s="3"/>
      <c r="N30" s="13"/>
      <c r="O30" s="3"/>
      <c r="P30" s="3">
        <v>119870</v>
      </c>
      <c r="Q30" s="3">
        <v>73301</v>
      </c>
      <c r="R30" s="3">
        <f t="shared" si="1"/>
        <v>193171</v>
      </c>
      <c r="T30" s="3">
        <v>487003</v>
      </c>
    </row>
    <row r="31" spans="1:20" x14ac:dyDescent="0.45">
      <c r="A31" s="2" t="s">
        <v>112</v>
      </c>
      <c r="B31" s="2">
        <v>1906</v>
      </c>
      <c r="C31" s="3">
        <v>111528</v>
      </c>
      <c r="D31" s="3"/>
      <c r="E31" s="3"/>
      <c r="F31" s="3"/>
      <c r="G31" s="3"/>
      <c r="H31" s="3"/>
      <c r="I31" s="3"/>
      <c r="J31" s="3"/>
      <c r="K31" s="3"/>
      <c r="L31" s="3"/>
      <c r="M31" s="3"/>
      <c r="N31" s="13"/>
      <c r="O31" s="3"/>
      <c r="P31" s="3">
        <v>120414</v>
      </c>
      <c r="Q31" s="3">
        <v>72905</v>
      </c>
      <c r="R31" s="3">
        <f t="shared" si="1"/>
        <v>193319</v>
      </c>
      <c r="T31" s="3">
        <v>786758</v>
      </c>
    </row>
    <row r="32" spans="1:20" x14ac:dyDescent="0.45">
      <c r="A32" s="2" t="s">
        <v>113</v>
      </c>
      <c r="B32" s="2">
        <v>1907</v>
      </c>
      <c r="C32" s="3">
        <v>113025</v>
      </c>
      <c r="D32" s="3"/>
      <c r="E32" s="3"/>
      <c r="F32" s="3"/>
      <c r="G32" s="3"/>
      <c r="H32" s="3"/>
      <c r="I32" s="3"/>
      <c r="J32" s="3"/>
      <c r="K32" s="3"/>
      <c r="L32" s="3"/>
      <c r="M32" s="3"/>
      <c r="N32" s="13"/>
      <c r="O32" s="3"/>
      <c r="P32" s="3">
        <v>121101</v>
      </c>
      <c r="Q32" s="3">
        <v>72463</v>
      </c>
      <c r="R32" s="3">
        <f t="shared" si="1"/>
        <v>193564</v>
      </c>
      <c r="T32" s="3">
        <v>490563</v>
      </c>
    </row>
    <row r="33" spans="1:20" x14ac:dyDescent="0.45">
      <c r="A33" s="2" t="s">
        <v>114</v>
      </c>
      <c r="B33" s="2">
        <v>1908</v>
      </c>
      <c r="C33" s="3">
        <v>113391</v>
      </c>
      <c r="D33" s="3">
        <v>5512</v>
      </c>
      <c r="E33" s="3">
        <v>7295</v>
      </c>
      <c r="F33" s="3">
        <v>2820</v>
      </c>
      <c r="G33" s="3">
        <v>3751</v>
      </c>
      <c r="H33" s="3">
        <v>10849</v>
      </c>
      <c r="I33" s="3">
        <v>4600</v>
      </c>
      <c r="J33" s="3">
        <v>7536</v>
      </c>
      <c r="K33" s="3"/>
      <c r="L33" s="3">
        <v>6888</v>
      </c>
      <c r="M33" s="3"/>
      <c r="N33" s="13"/>
      <c r="O33" s="3"/>
      <c r="P33" s="3">
        <v>122172</v>
      </c>
      <c r="Q33" s="3">
        <v>72609</v>
      </c>
      <c r="R33" s="3">
        <f t="shared" si="1"/>
        <v>194781</v>
      </c>
      <c r="T33" s="3">
        <v>501594</v>
      </c>
    </row>
    <row r="34" spans="1:20" x14ac:dyDescent="0.45">
      <c r="A34" s="2" t="s">
        <v>115</v>
      </c>
      <c r="B34" s="2">
        <v>1909</v>
      </c>
      <c r="C34" s="3">
        <v>113779</v>
      </c>
      <c r="D34" s="3"/>
      <c r="E34" s="3"/>
      <c r="F34" s="3"/>
      <c r="G34" s="3"/>
      <c r="H34" s="3"/>
      <c r="I34" s="3"/>
      <c r="J34" s="3"/>
      <c r="K34" s="3"/>
      <c r="L34" s="3"/>
      <c r="M34" s="3"/>
      <c r="N34" s="13"/>
      <c r="O34" s="3"/>
      <c r="P34" s="3">
        <v>124806</v>
      </c>
      <c r="Q34" s="3">
        <v>72861</v>
      </c>
      <c r="R34" s="3">
        <f t="shared" si="1"/>
        <v>197667</v>
      </c>
      <c r="T34" s="3">
        <v>508815</v>
      </c>
    </row>
    <row r="35" spans="1:20" x14ac:dyDescent="0.45">
      <c r="A35" s="2" t="s">
        <v>116</v>
      </c>
      <c r="B35" s="2">
        <v>1910</v>
      </c>
      <c r="C35" s="3">
        <v>114279</v>
      </c>
      <c r="D35" s="3">
        <v>5756</v>
      </c>
      <c r="E35" s="3">
        <v>7496</v>
      </c>
      <c r="F35" s="3">
        <v>2323</v>
      </c>
      <c r="G35" s="3">
        <v>3890</v>
      </c>
      <c r="H35" s="3">
        <v>11082</v>
      </c>
      <c r="I35" s="3">
        <v>4648</v>
      </c>
      <c r="J35" s="3">
        <v>7466</v>
      </c>
      <c r="K35" s="3"/>
      <c r="L35" s="3">
        <v>6211</v>
      </c>
      <c r="M35" s="3">
        <v>3106</v>
      </c>
      <c r="N35" s="13"/>
      <c r="O35" s="3"/>
      <c r="P35" s="3">
        <v>125693</v>
      </c>
      <c r="Q35" s="3">
        <v>73493</v>
      </c>
      <c r="R35" s="3">
        <f t="shared" si="1"/>
        <v>199186</v>
      </c>
      <c r="T35" s="3">
        <v>530177</v>
      </c>
    </row>
    <row r="36" spans="1:20" x14ac:dyDescent="0.45">
      <c r="A36" s="2" t="s">
        <v>117</v>
      </c>
      <c r="B36" s="2">
        <v>1911</v>
      </c>
      <c r="C36" s="3">
        <v>115727</v>
      </c>
      <c r="D36" s="3">
        <v>5967</v>
      </c>
      <c r="E36" s="3">
        <v>7679</v>
      </c>
      <c r="F36" s="3">
        <v>2388</v>
      </c>
      <c r="G36" s="3">
        <v>3997</v>
      </c>
      <c r="H36" s="3">
        <v>11263</v>
      </c>
      <c r="I36" s="3">
        <v>4681</v>
      </c>
      <c r="J36" s="3">
        <v>7442</v>
      </c>
      <c r="K36" s="3"/>
      <c r="L36" s="3">
        <v>6275</v>
      </c>
      <c r="M36" s="3">
        <v>3217</v>
      </c>
      <c r="N36" s="13"/>
      <c r="O36" s="3"/>
      <c r="P36" s="3">
        <v>127918</v>
      </c>
      <c r="Q36" s="3">
        <v>73928</v>
      </c>
      <c r="R36" s="3">
        <f t="shared" si="1"/>
        <v>201846</v>
      </c>
      <c r="T36" s="3">
        <v>530057</v>
      </c>
    </row>
    <row r="37" spans="1:20" x14ac:dyDescent="0.45">
      <c r="A37" s="2" t="s">
        <v>118</v>
      </c>
      <c r="B37" s="2">
        <v>1912</v>
      </c>
      <c r="C37" s="3">
        <v>117230</v>
      </c>
      <c r="D37" s="3"/>
      <c r="E37" s="3"/>
      <c r="F37" s="3"/>
      <c r="G37" s="3"/>
      <c r="H37" s="3">
        <v>11414</v>
      </c>
      <c r="I37" s="3"/>
      <c r="J37" s="3"/>
      <c r="K37" s="3"/>
      <c r="L37" s="3"/>
      <c r="M37" s="3"/>
      <c r="N37" s="13"/>
      <c r="O37" s="3"/>
      <c r="P37" s="3">
        <v>129987</v>
      </c>
      <c r="Q37" s="3">
        <v>73842</v>
      </c>
      <c r="R37" s="3">
        <f t="shared" si="1"/>
        <v>203829</v>
      </c>
      <c r="T37" s="3">
        <v>538514</v>
      </c>
    </row>
    <row r="38" spans="1:20" x14ac:dyDescent="0.45">
      <c r="A38" s="2" t="s">
        <v>119</v>
      </c>
      <c r="B38" s="2">
        <v>1913</v>
      </c>
      <c r="C38" s="3">
        <v>116811</v>
      </c>
      <c r="D38" s="3"/>
      <c r="E38" s="3"/>
      <c r="F38" s="3"/>
      <c r="G38" s="3"/>
      <c r="H38" s="3"/>
      <c r="I38" s="3"/>
      <c r="J38" s="3"/>
      <c r="K38" s="3"/>
      <c r="L38" s="3"/>
      <c r="M38" s="3"/>
      <c r="N38" s="13"/>
      <c r="O38" s="3"/>
      <c r="P38" s="3">
        <v>130610</v>
      </c>
      <c r="Q38" s="3">
        <v>74805</v>
      </c>
      <c r="R38" s="3">
        <f t="shared" si="1"/>
        <v>205415</v>
      </c>
      <c r="T38" s="3">
        <v>537081</v>
      </c>
    </row>
    <row r="39" spans="1:20" x14ac:dyDescent="0.45">
      <c r="A39" s="2" t="s">
        <v>120</v>
      </c>
      <c r="B39" s="2">
        <v>1914</v>
      </c>
      <c r="C39" s="3">
        <v>116938</v>
      </c>
      <c r="D39" s="3"/>
      <c r="E39" s="3"/>
      <c r="F39" s="3"/>
      <c r="G39" s="3"/>
      <c r="H39" s="3">
        <v>10849</v>
      </c>
      <c r="I39" s="3"/>
      <c r="J39" s="3"/>
      <c r="K39" s="3"/>
      <c r="L39" s="3"/>
      <c r="M39" s="3"/>
      <c r="N39" s="13"/>
      <c r="O39" s="3"/>
      <c r="P39" s="3">
        <v>129091</v>
      </c>
      <c r="Q39" s="3">
        <v>73434</v>
      </c>
      <c r="R39" s="3">
        <f t="shared" si="1"/>
        <v>202525</v>
      </c>
      <c r="T39" s="3">
        <v>539297</v>
      </c>
    </row>
    <row r="40" spans="1:20" x14ac:dyDescent="0.45">
      <c r="A40" s="2" t="s">
        <v>121</v>
      </c>
      <c r="B40" s="2">
        <v>1915</v>
      </c>
      <c r="C40" s="3">
        <v>117446</v>
      </c>
      <c r="D40" s="3"/>
      <c r="E40" s="3"/>
      <c r="F40" s="3"/>
      <c r="G40" s="3"/>
      <c r="H40" s="3"/>
      <c r="I40" s="3"/>
      <c r="J40" s="3"/>
      <c r="K40" s="3"/>
      <c r="L40" s="3"/>
      <c r="M40" s="3"/>
      <c r="N40" s="13"/>
      <c r="O40" s="3"/>
      <c r="P40" s="3">
        <v>129050</v>
      </c>
      <c r="Q40" s="3">
        <v>74807</v>
      </c>
      <c r="R40" s="3">
        <f t="shared" si="1"/>
        <v>203857</v>
      </c>
      <c r="T40" s="3">
        <v>547427</v>
      </c>
    </row>
    <row r="41" spans="1:20" x14ac:dyDescent="0.45">
      <c r="A41" s="2" t="s">
        <v>122</v>
      </c>
      <c r="B41" s="2">
        <v>1916</v>
      </c>
      <c r="C41" s="3">
        <v>117300</v>
      </c>
      <c r="D41" s="3"/>
      <c r="E41" s="3"/>
      <c r="F41" s="3"/>
      <c r="G41" s="3"/>
      <c r="H41" s="3"/>
      <c r="I41" s="3"/>
      <c r="J41" s="3"/>
      <c r="K41" s="3"/>
      <c r="L41" s="3"/>
      <c r="M41" s="3"/>
      <c r="N41" s="13"/>
      <c r="O41" s="3"/>
      <c r="P41" s="3">
        <v>130525</v>
      </c>
      <c r="Q41" s="3">
        <v>75313</v>
      </c>
      <c r="R41" s="3">
        <f t="shared" si="1"/>
        <v>205838</v>
      </c>
      <c r="T41" s="3">
        <v>551710</v>
      </c>
    </row>
    <row r="42" spans="1:20" x14ac:dyDescent="0.45">
      <c r="A42" s="2" t="s">
        <v>123</v>
      </c>
      <c r="B42" s="2">
        <v>1917</v>
      </c>
      <c r="C42" s="3">
        <v>117274</v>
      </c>
      <c r="D42" s="3"/>
      <c r="E42" s="3"/>
      <c r="F42" s="3"/>
      <c r="G42" s="3"/>
      <c r="H42" s="3"/>
      <c r="I42" s="3"/>
      <c r="J42" s="3"/>
      <c r="K42" s="3"/>
      <c r="L42" s="3"/>
      <c r="M42" s="3"/>
      <c r="N42" s="13"/>
      <c r="O42" s="3"/>
      <c r="P42" s="3">
        <v>131581</v>
      </c>
      <c r="Q42" s="3">
        <v>72999</v>
      </c>
      <c r="R42" s="3">
        <f t="shared" si="1"/>
        <v>204580</v>
      </c>
      <c r="T42" s="3">
        <v>554583</v>
      </c>
    </row>
    <row r="43" spans="1:20" x14ac:dyDescent="0.45">
      <c r="A43" s="2" t="s">
        <v>124</v>
      </c>
      <c r="B43" s="2">
        <v>1918</v>
      </c>
      <c r="C43" s="3">
        <v>116271</v>
      </c>
      <c r="D43" s="3"/>
      <c r="E43" s="3"/>
      <c r="F43" s="3"/>
      <c r="G43" s="3"/>
      <c r="H43" s="3"/>
      <c r="I43" s="3"/>
      <c r="J43" s="3"/>
      <c r="K43" s="3"/>
      <c r="L43" s="3"/>
      <c r="M43" s="3"/>
      <c r="N43" s="13"/>
      <c r="O43" s="3"/>
      <c r="P43" s="3">
        <v>128568</v>
      </c>
      <c r="Q43" s="3">
        <v>71942</v>
      </c>
      <c r="R43" s="3">
        <f t="shared" si="1"/>
        <v>200510</v>
      </c>
      <c r="T43" s="3">
        <v>580392</v>
      </c>
    </row>
    <row r="44" spans="1:20" x14ac:dyDescent="0.45">
      <c r="A44" s="2" t="s">
        <v>125</v>
      </c>
      <c r="B44" s="2">
        <v>1919</v>
      </c>
      <c r="C44" s="3">
        <v>115301</v>
      </c>
      <c r="D44" s="3"/>
      <c r="E44" s="3"/>
      <c r="F44" s="3"/>
      <c r="G44" s="3"/>
      <c r="H44" s="3"/>
      <c r="I44" s="3"/>
      <c r="J44" s="3"/>
      <c r="K44" s="3"/>
      <c r="L44" s="3"/>
      <c r="M44" s="3"/>
      <c r="N44" s="13"/>
      <c r="O44" s="3"/>
      <c r="P44" s="3">
        <v>129526</v>
      </c>
      <c r="Q44" s="3">
        <v>71528</v>
      </c>
      <c r="R44" s="3">
        <f t="shared" si="1"/>
        <v>201054</v>
      </c>
      <c r="T44" s="3">
        <v>579790</v>
      </c>
    </row>
    <row r="45" spans="1:20" x14ac:dyDescent="0.45">
      <c r="A45" s="2" t="s">
        <v>126</v>
      </c>
      <c r="B45" s="2">
        <v>1920</v>
      </c>
      <c r="C45" s="3">
        <v>110753</v>
      </c>
      <c r="D45" s="3">
        <v>6507</v>
      </c>
      <c r="E45" s="3">
        <v>6838</v>
      </c>
      <c r="F45" s="3">
        <v>2070</v>
      </c>
      <c r="G45" s="3">
        <v>3536</v>
      </c>
      <c r="H45" s="3">
        <v>7418</v>
      </c>
      <c r="I45" s="3">
        <v>4336</v>
      </c>
      <c r="J45" s="3">
        <v>7060</v>
      </c>
      <c r="K45" s="3"/>
      <c r="L45" s="3">
        <v>5785</v>
      </c>
      <c r="M45" s="3"/>
      <c r="N45" s="13"/>
      <c r="O45" s="3"/>
      <c r="P45" s="3">
        <v>126689</v>
      </c>
      <c r="Q45" s="3">
        <v>71835</v>
      </c>
      <c r="R45" s="3">
        <f t="shared" si="1"/>
        <v>198524</v>
      </c>
      <c r="T45" s="3">
        <f>T46-18164</f>
        <v>571572</v>
      </c>
    </row>
    <row r="46" spans="1:20" x14ac:dyDescent="0.45">
      <c r="A46" s="2" t="s">
        <v>127</v>
      </c>
      <c r="B46" s="2">
        <v>1921</v>
      </c>
      <c r="C46" s="3">
        <v>112170</v>
      </c>
      <c r="D46" s="3"/>
      <c r="E46" s="3"/>
      <c r="F46" s="3"/>
      <c r="G46" s="3"/>
      <c r="H46" s="3"/>
      <c r="I46" s="3"/>
      <c r="J46" s="3"/>
      <c r="K46" s="3"/>
      <c r="L46" s="3"/>
      <c r="M46" s="3"/>
      <c r="N46" s="13"/>
      <c r="O46" s="3"/>
      <c r="P46" s="3">
        <v>128696</v>
      </c>
      <c r="Q46" s="3">
        <v>71944</v>
      </c>
      <c r="R46" s="3">
        <f t="shared" si="1"/>
        <v>200640</v>
      </c>
      <c r="T46" s="3">
        <v>589736</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8113A-6E8B-4C71-9479-2167D8A30C1B}">
  <dimension ref="A1:S25"/>
  <sheetViews>
    <sheetView zoomScaleNormal="100" workbookViewId="0"/>
  </sheetViews>
  <sheetFormatPr defaultRowHeight="18" x14ac:dyDescent="0.45"/>
  <cols>
    <col min="1" max="1" width="12.69921875" bestFit="1" customWidth="1"/>
    <col min="2" max="2" width="47" bestFit="1" customWidth="1"/>
    <col min="3" max="3" width="32.09765625" customWidth="1"/>
    <col min="5" max="5" width="27.796875" bestFit="1" customWidth="1"/>
    <col min="6" max="6" width="44.296875" bestFit="1" customWidth="1"/>
    <col min="7" max="7" width="33.796875" bestFit="1" customWidth="1"/>
    <col min="8" max="8" width="9.19921875" customWidth="1"/>
    <col min="9" max="9" width="9.796875" bestFit="1" customWidth="1"/>
    <col min="10" max="10" width="22.19921875" bestFit="1" customWidth="1"/>
    <col min="11" max="11" width="33.796875" customWidth="1"/>
    <col min="13" max="13" width="12.59765625" bestFit="1" customWidth="1"/>
    <col min="14" max="14" width="29.59765625" bestFit="1" customWidth="1"/>
    <col min="15" max="15" width="33.796875" bestFit="1" customWidth="1"/>
    <col min="17" max="17" width="12.59765625" bestFit="1" customWidth="1"/>
    <col min="18" max="18" width="25.3984375" bestFit="1" customWidth="1"/>
    <col min="19" max="19" width="34.8984375" bestFit="1" customWidth="1"/>
  </cols>
  <sheetData>
    <row r="1" spans="1:19" x14ac:dyDescent="0.45">
      <c r="A1" t="s">
        <v>155</v>
      </c>
    </row>
    <row r="2" spans="1:19" x14ac:dyDescent="0.45">
      <c r="A2" s="16" t="s">
        <v>195</v>
      </c>
      <c r="B2" s="16"/>
      <c r="C2" s="16"/>
      <c r="E2" s="16" t="s">
        <v>40</v>
      </c>
      <c r="F2" s="16"/>
      <c r="G2" s="16"/>
      <c r="I2" s="16" t="s">
        <v>198</v>
      </c>
      <c r="J2" s="16"/>
      <c r="K2" s="16"/>
      <c r="M2" s="16" t="s">
        <v>202</v>
      </c>
      <c r="N2" s="16"/>
      <c r="O2" s="16"/>
      <c r="Q2" s="16" t="s">
        <v>231</v>
      </c>
      <c r="R2" s="16"/>
      <c r="S2" s="16"/>
    </row>
    <row r="3" spans="1:19" x14ac:dyDescent="0.45">
      <c r="A3" s="3" t="s">
        <v>85</v>
      </c>
      <c r="B3" s="3" t="s">
        <v>32</v>
      </c>
      <c r="C3" s="10" t="s">
        <v>33</v>
      </c>
      <c r="E3" s="3" t="s">
        <v>184</v>
      </c>
      <c r="F3" s="3" t="s">
        <v>185</v>
      </c>
      <c r="G3" s="5" t="s">
        <v>186</v>
      </c>
      <c r="I3" s="3" t="s">
        <v>201</v>
      </c>
      <c r="J3" s="3" t="s">
        <v>51</v>
      </c>
      <c r="K3" s="10" t="s">
        <v>52</v>
      </c>
      <c r="M3" s="3" t="s">
        <v>90</v>
      </c>
      <c r="N3" s="3" t="s">
        <v>225</v>
      </c>
      <c r="O3" s="5" t="s">
        <v>226</v>
      </c>
      <c r="Q3" s="3" t="s">
        <v>89</v>
      </c>
      <c r="R3" s="3" t="s">
        <v>235</v>
      </c>
      <c r="S3" s="5" t="s">
        <v>236</v>
      </c>
    </row>
    <row r="4" spans="1:19" x14ac:dyDescent="0.45">
      <c r="A4" s="3" t="s">
        <v>86</v>
      </c>
      <c r="B4" s="3" t="s">
        <v>46</v>
      </c>
      <c r="C4" s="10" t="s">
        <v>45</v>
      </c>
      <c r="E4" s="3" t="s">
        <v>173</v>
      </c>
      <c r="F4" s="3" t="s">
        <v>161</v>
      </c>
      <c r="G4" s="10" t="s">
        <v>160</v>
      </c>
      <c r="I4" s="3" t="s">
        <v>92</v>
      </c>
      <c r="J4" s="3" t="s">
        <v>58</v>
      </c>
      <c r="K4" s="10" t="s">
        <v>59</v>
      </c>
      <c r="M4" s="3" t="s">
        <v>91</v>
      </c>
      <c r="N4" s="3" t="s">
        <v>209</v>
      </c>
      <c r="O4" s="5" t="s">
        <v>210</v>
      </c>
      <c r="Q4" s="3" t="s">
        <v>250</v>
      </c>
      <c r="R4" s="3" t="s">
        <v>251</v>
      </c>
      <c r="S4" s="5" t="s">
        <v>249</v>
      </c>
    </row>
    <row r="5" spans="1:19" x14ac:dyDescent="0.45">
      <c r="A5" s="3" t="s">
        <v>128</v>
      </c>
      <c r="B5" s="3" t="s">
        <v>50</v>
      </c>
      <c r="C5" s="10" t="s">
        <v>49</v>
      </c>
      <c r="E5" s="3" t="s">
        <v>172</v>
      </c>
      <c r="F5" s="3" t="s">
        <v>169</v>
      </c>
      <c r="G5" s="5" t="s">
        <v>170</v>
      </c>
      <c r="I5" s="3" t="s">
        <v>199</v>
      </c>
      <c r="J5" s="3" t="s">
        <v>54</v>
      </c>
      <c r="K5" s="10" t="s">
        <v>200</v>
      </c>
      <c r="M5" s="3" t="s">
        <v>227</v>
      </c>
      <c r="N5" s="3" t="s">
        <v>228</v>
      </c>
      <c r="O5" s="5" t="s">
        <v>229</v>
      </c>
      <c r="Q5" s="3" t="s">
        <v>232</v>
      </c>
      <c r="R5" s="3" t="s">
        <v>233</v>
      </c>
      <c r="S5" s="5" t="s">
        <v>234</v>
      </c>
    </row>
    <row r="6" spans="1:19" x14ac:dyDescent="0.45">
      <c r="A6" s="3" t="s">
        <v>129</v>
      </c>
      <c r="B6" s="3" t="s">
        <v>51</v>
      </c>
      <c r="C6" s="10" t="s">
        <v>52</v>
      </c>
      <c r="E6" s="3" t="s">
        <v>98</v>
      </c>
      <c r="F6" s="3" t="s">
        <v>171</v>
      </c>
      <c r="G6" s="11"/>
      <c r="I6" s="3" t="s">
        <v>203</v>
      </c>
      <c r="J6" s="3" t="s">
        <v>204</v>
      </c>
      <c r="K6" s="10" t="s">
        <v>205</v>
      </c>
      <c r="M6" s="3" t="s">
        <v>106</v>
      </c>
      <c r="N6" s="3" t="s">
        <v>221</v>
      </c>
      <c r="O6" s="5" t="s">
        <v>222</v>
      </c>
      <c r="Q6" s="3" t="s">
        <v>110</v>
      </c>
      <c r="R6" s="3" t="s">
        <v>242</v>
      </c>
      <c r="S6" s="5" t="s">
        <v>243</v>
      </c>
    </row>
    <row r="7" spans="1:19" x14ac:dyDescent="0.45">
      <c r="A7" s="3" t="s">
        <v>130</v>
      </c>
      <c r="B7" s="3" t="s">
        <v>58</v>
      </c>
      <c r="C7" s="10" t="s">
        <v>59</v>
      </c>
      <c r="E7" s="3" t="s">
        <v>100</v>
      </c>
      <c r="F7" s="3" t="s">
        <v>168</v>
      </c>
      <c r="G7" s="5" t="s">
        <v>167</v>
      </c>
      <c r="I7" s="3" t="s">
        <v>206</v>
      </c>
      <c r="J7" s="3" t="s">
        <v>208</v>
      </c>
      <c r="K7" s="10" t="s">
        <v>207</v>
      </c>
      <c r="M7" s="3" t="s">
        <v>107</v>
      </c>
      <c r="N7" s="3" t="s">
        <v>223</v>
      </c>
      <c r="O7" s="5" t="s">
        <v>224</v>
      </c>
      <c r="Q7" s="3" t="s">
        <v>244</v>
      </c>
      <c r="R7" s="3" t="s">
        <v>246</v>
      </c>
      <c r="S7" s="5" t="s">
        <v>245</v>
      </c>
    </row>
    <row r="8" spans="1:19" x14ac:dyDescent="0.45">
      <c r="A8" s="3" t="s">
        <v>93</v>
      </c>
      <c r="B8" s="3" t="s">
        <v>53</v>
      </c>
      <c r="C8" s="10" t="s">
        <v>61</v>
      </c>
      <c r="E8" s="3" t="s">
        <v>104</v>
      </c>
      <c r="F8" s="3" t="s">
        <v>38</v>
      </c>
      <c r="G8" s="10" t="s">
        <v>156</v>
      </c>
      <c r="K8" s="12"/>
      <c r="M8" s="3" t="s">
        <v>108</v>
      </c>
      <c r="N8" s="3" t="s">
        <v>211</v>
      </c>
      <c r="O8" s="5" t="s">
        <v>212</v>
      </c>
      <c r="Q8" s="3" t="s">
        <v>127</v>
      </c>
      <c r="R8" s="3" t="s">
        <v>247</v>
      </c>
      <c r="S8" s="5" t="s">
        <v>248</v>
      </c>
    </row>
    <row r="9" spans="1:19" x14ac:dyDescent="0.45">
      <c r="A9" s="3" t="s">
        <v>94</v>
      </c>
      <c r="B9" s="3" t="s">
        <v>54</v>
      </c>
      <c r="C9" s="10" t="s">
        <v>60</v>
      </c>
      <c r="E9" s="3" t="s">
        <v>109</v>
      </c>
      <c r="F9" s="3" t="s">
        <v>41</v>
      </c>
      <c r="G9" s="10" t="s">
        <v>42</v>
      </c>
      <c r="K9" s="12"/>
      <c r="M9" s="3" t="s">
        <v>109</v>
      </c>
      <c r="N9" s="3" t="s">
        <v>219</v>
      </c>
      <c r="O9" s="5" t="s">
        <v>220</v>
      </c>
    </row>
    <row r="10" spans="1:19" ht="18" customHeight="1" x14ac:dyDescent="0.45">
      <c r="A10" s="3" t="s">
        <v>131</v>
      </c>
      <c r="B10" s="3" t="s">
        <v>55</v>
      </c>
      <c r="C10" s="10" t="s">
        <v>62</v>
      </c>
      <c r="E10" s="3" t="s">
        <v>114</v>
      </c>
      <c r="F10" s="3" t="s">
        <v>158</v>
      </c>
      <c r="G10" s="10" t="s">
        <v>159</v>
      </c>
      <c r="K10" s="12"/>
      <c r="M10" s="3" t="s">
        <v>110</v>
      </c>
      <c r="N10" s="3" t="s">
        <v>217</v>
      </c>
      <c r="O10" s="5" t="s">
        <v>218</v>
      </c>
    </row>
    <row r="11" spans="1:19" ht="18" customHeight="1" x14ac:dyDescent="0.45">
      <c r="A11" s="3" t="s">
        <v>132</v>
      </c>
      <c r="B11" s="3" t="s">
        <v>56</v>
      </c>
      <c r="C11" s="10" t="s">
        <v>57</v>
      </c>
      <c r="E11" s="3" t="s">
        <v>116</v>
      </c>
      <c r="F11" s="3" t="s">
        <v>175</v>
      </c>
      <c r="G11" s="5" t="s">
        <v>176</v>
      </c>
      <c r="K11" s="12"/>
      <c r="M11" s="3" t="s">
        <v>213</v>
      </c>
      <c r="N11" s="3" t="s">
        <v>214</v>
      </c>
      <c r="O11" s="5" t="s">
        <v>215</v>
      </c>
    </row>
    <row r="12" spans="1:19" ht="18" customHeight="1" x14ac:dyDescent="0.45">
      <c r="A12" s="3" t="s">
        <v>133</v>
      </c>
      <c r="B12" s="3" t="s">
        <v>34</v>
      </c>
      <c r="C12" s="10" t="s">
        <v>35</v>
      </c>
      <c r="E12" s="3" t="s">
        <v>117</v>
      </c>
      <c r="F12" s="3" t="s">
        <v>177</v>
      </c>
      <c r="G12" s="5" t="s">
        <v>178</v>
      </c>
      <c r="K12" s="12"/>
      <c r="M12" s="3" t="s">
        <v>121</v>
      </c>
      <c r="N12" s="3" t="s">
        <v>16</v>
      </c>
      <c r="O12" s="7" t="s">
        <v>15</v>
      </c>
    </row>
    <row r="13" spans="1:19" ht="18" customHeight="1" x14ac:dyDescent="0.45">
      <c r="A13" s="3" t="s">
        <v>134</v>
      </c>
      <c r="B13" s="3" t="s">
        <v>6</v>
      </c>
      <c r="C13" s="10" t="s">
        <v>63</v>
      </c>
      <c r="E13" s="3" t="s">
        <v>183</v>
      </c>
      <c r="F13" s="3" t="s">
        <v>181</v>
      </c>
      <c r="G13" s="5" t="s">
        <v>182</v>
      </c>
      <c r="K13" s="12"/>
      <c r="M13" s="3" t="s">
        <v>122</v>
      </c>
      <c r="N13" s="3" t="s">
        <v>18</v>
      </c>
      <c r="O13" s="7" t="s">
        <v>17</v>
      </c>
    </row>
    <row r="14" spans="1:19" ht="18" customHeight="1" x14ac:dyDescent="0.45">
      <c r="A14" s="3" t="s">
        <v>103</v>
      </c>
      <c r="B14" s="3" t="s">
        <v>36</v>
      </c>
      <c r="C14" s="10" t="s">
        <v>37</v>
      </c>
      <c r="E14" s="3" t="s">
        <v>174</v>
      </c>
      <c r="F14" s="3" t="s">
        <v>48</v>
      </c>
      <c r="G14" s="10" t="s">
        <v>47</v>
      </c>
      <c r="K14" s="12"/>
      <c r="M14" s="3" t="s">
        <v>123</v>
      </c>
      <c r="N14" s="3" t="s">
        <v>20</v>
      </c>
      <c r="O14" s="7" t="s">
        <v>19</v>
      </c>
    </row>
    <row r="15" spans="1:19" ht="18" customHeight="1" x14ac:dyDescent="0.45">
      <c r="A15" s="3" t="s">
        <v>104</v>
      </c>
      <c r="B15" s="3" t="s">
        <v>38</v>
      </c>
      <c r="C15" s="10" t="s">
        <v>39</v>
      </c>
      <c r="E15" s="3" t="s">
        <v>126</v>
      </c>
      <c r="F15" s="3" t="s">
        <v>163</v>
      </c>
      <c r="G15" s="10" t="s">
        <v>162</v>
      </c>
      <c r="K15" s="12"/>
      <c r="M15" s="3" t="s">
        <v>124</v>
      </c>
      <c r="N15" s="3" t="s">
        <v>22</v>
      </c>
      <c r="O15" s="7" t="s">
        <v>21</v>
      </c>
    </row>
    <row r="16" spans="1:19" ht="18" customHeight="1" x14ac:dyDescent="0.45">
      <c r="A16" s="3" t="s">
        <v>106</v>
      </c>
      <c r="B16" s="3" t="s">
        <v>7</v>
      </c>
      <c r="C16" s="10" t="s">
        <v>0</v>
      </c>
      <c r="F16" t="s">
        <v>179</v>
      </c>
      <c r="G16" s="1" t="s">
        <v>180</v>
      </c>
      <c r="K16" s="12"/>
      <c r="M16" s="3" t="s">
        <v>125</v>
      </c>
      <c r="N16" s="3" t="s">
        <v>24</v>
      </c>
      <c r="O16" s="7" t="s">
        <v>23</v>
      </c>
    </row>
    <row r="17" spans="1:15" x14ac:dyDescent="0.45">
      <c r="A17" s="3" t="s">
        <v>108</v>
      </c>
      <c r="B17" s="3" t="s">
        <v>8</v>
      </c>
      <c r="C17" s="10" t="s">
        <v>5</v>
      </c>
      <c r="K17" s="12"/>
      <c r="M17" s="3" t="s">
        <v>126</v>
      </c>
      <c r="N17" s="3" t="s">
        <v>26</v>
      </c>
      <c r="O17" s="7" t="s">
        <v>25</v>
      </c>
    </row>
    <row r="18" spans="1:15" x14ac:dyDescent="0.45">
      <c r="A18" s="3" t="s">
        <v>109</v>
      </c>
      <c r="B18" s="3" t="s">
        <v>9</v>
      </c>
      <c r="C18" s="10" t="s">
        <v>4</v>
      </c>
      <c r="K18" s="12"/>
      <c r="M18" s="3" t="s">
        <v>127</v>
      </c>
      <c r="N18" s="3" t="s">
        <v>28</v>
      </c>
      <c r="O18" s="7" t="s">
        <v>27</v>
      </c>
    </row>
    <row r="19" spans="1:15" x14ac:dyDescent="0.45">
      <c r="A19" s="3" t="s">
        <v>135</v>
      </c>
      <c r="B19" s="3" t="s">
        <v>11</v>
      </c>
      <c r="C19" s="10" t="s">
        <v>10</v>
      </c>
      <c r="K19" s="12"/>
    </row>
    <row r="20" spans="1:15" x14ac:dyDescent="0.45">
      <c r="A20" s="3" t="s">
        <v>111</v>
      </c>
      <c r="B20" s="3" t="s">
        <v>12</v>
      </c>
      <c r="C20" s="10" t="s">
        <v>3</v>
      </c>
      <c r="K20" s="12"/>
    </row>
    <row r="21" spans="1:15" x14ac:dyDescent="0.45">
      <c r="A21" s="3" t="s">
        <v>136</v>
      </c>
      <c r="B21" s="3" t="s">
        <v>13</v>
      </c>
      <c r="C21" s="10" t="s">
        <v>1</v>
      </c>
      <c r="K21" s="12"/>
    </row>
    <row r="22" spans="1:15" x14ac:dyDescent="0.45">
      <c r="A22" s="3" t="s">
        <v>137</v>
      </c>
      <c r="B22" s="3" t="s">
        <v>14</v>
      </c>
      <c r="C22" s="10" t="s">
        <v>2</v>
      </c>
    </row>
    <row r="25" spans="1:15" x14ac:dyDescent="0.45">
      <c r="F25" s="1"/>
    </row>
  </sheetData>
  <mergeCells count="5">
    <mergeCell ref="A2:C2"/>
    <mergeCell ref="I2:K2"/>
    <mergeCell ref="E2:G2"/>
    <mergeCell ref="M2:O2"/>
    <mergeCell ref="Q2:S2"/>
  </mergeCells>
  <phoneticPr fontId="1"/>
  <hyperlinks>
    <hyperlink ref="C16" r:id="rId1" xr:uid="{30168E16-5783-4B52-BBEC-2A59889DF493}"/>
    <hyperlink ref="C21" r:id="rId2" xr:uid="{C4E55099-C06E-4A8D-9325-DA4809BD69DF}"/>
    <hyperlink ref="C22" r:id="rId3" xr:uid="{D3B538B1-D84F-45EC-9E6E-B745A04F4725}"/>
    <hyperlink ref="C20" r:id="rId4" xr:uid="{0DCEC44B-C8F1-469F-86EF-7EC937A8946E}"/>
    <hyperlink ref="C18" r:id="rId5" xr:uid="{3F8686B4-DB22-463E-A949-B0A706421019}"/>
    <hyperlink ref="C17" r:id="rId6" xr:uid="{279FA0CE-87FF-4E5C-AA25-839F0CF936E1}"/>
    <hyperlink ref="C13" r:id="rId7" xr:uid="{A809A4EC-3CAC-48E7-9A6D-19123D2DF3DF}"/>
    <hyperlink ref="C19" r:id="rId8" xr:uid="{B2939F21-6CD2-42B3-97AF-1684C847C253}"/>
    <hyperlink ref="O12" r:id="rId9" xr:uid="{6FCF6A20-BF33-484D-902B-19D2B641BC5A}"/>
    <hyperlink ref="O13" r:id="rId10" xr:uid="{DCB8970C-715C-4E21-A75B-594F771C39E1}"/>
    <hyperlink ref="O14" r:id="rId11" xr:uid="{4752B358-46C5-4799-9CDC-63FA3E308F95}"/>
    <hyperlink ref="O15" r:id="rId12" xr:uid="{FB364744-9096-43E2-A17F-F7E59360C3BE}"/>
    <hyperlink ref="O16" r:id="rId13" xr:uid="{8AD6C15B-84F6-44FE-89C3-D01D9A431B6F}"/>
    <hyperlink ref="O17" r:id="rId14" xr:uid="{055C695A-E3E0-4C8E-BBAF-5033DB968664}"/>
    <hyperlink ref="O18" r:id="rId15" xr:uid="{DE3E2EA4-325C-4AB7-A458-C0BF817D6A38}"/>
    <hyperlink ref="C3" r:id="rId16" xr:uid="{DDC2212D-805B-430A-A780-C2086C617211}"/>
    <hyperlink ref="C12" r:id="rId17" xr:uid="{13F1C432-0884-4858-9A53-6E14E75BBE02}"/>
    <hyperlink ref="C14" r:id="rId18" xr:uid="{5CDE9993-B269-4E2D-984C-89CCF59406ED}"/>
    <hyperlink ref="C15" r:id="rId19" xr:uid="{E7B4F953-6F66-4CBE-B0E5-5D51ABE608CB}"/>
    <hyperlink ref="G9" r:id="rId20" xr:uid="{3F2AE882-8702-4FDA-80F0-5773FBBF128E}"/>
    <hyperlink ref="G8" r:id="rId21" xr:uid="{4A0CFE4F-6339-4906-8689-B914611CBE0F}"/>
    <hyperlink ref="C4" r:id="rId22" xr:uid="{0A98DA9B-9C5D-4D82-B61C-FD4E96B25E8E}"/>
    <hyperlink ref="G14" r:id="rId23" xr:uid="{F0153D1F-5AF8-4438-979D-9ECE29ACE1FF}"/>
    <hyperlink ref="C5" r:id="rId24" xr:uid="{C9EBA697-3AB5-4208-ADAA-5E3C4814A3A7}"/>
    <hyperlink ref="C6" r:id="rId25" xr:uid="{5ED67823-9628-4FD3-B33B-57AB5848EA63}"/>
    <hyperlink ref="C11" r:id="rId26" xr:uid="{C71A1CC0-B453-46A8-B3BA-E72372F3659E}"/>
    <hyperlink ref="C7" r:id="rId27" xr:uid="{2782394E-72FD-41DF-A9DD-735224FB2B24}"/>
    <hyperlink ref="C9" r:id="rId28" xr:uid="{2D0265F5-7B15-42EE-A6BE-9CE234F7A585}"/>
    <hyperlink ref="C8" r:id="rId29" xr:uid="{381711A9-0AF1-4E76-AA1E-42BA0740A8AA}"/>
    <hyperlink ref="C10" r:id="rId30" xr:uid="{6827395C-DE58-4D00-AECF-02E5D6BCA351}"/>
    <hyperlink ref="G10" r:id="rId31" xr:uid="{F047A31E-816A-407D-ACBC-7EF6A2587FC7}"/>
    <hyperlink ref="G4" r:id="rId32" xr:uid="{AD9995EE-6EFB-4E5F-B21B-8FEE069744D7}"/>
    <hyperlink ref="G15" r:id="rId33" xr:uid="{330B9870-72B7-4D96-AA18-F63AA6131CEF}"/>
    <hyperlink ref="G3" r:id="rId34" xr:uid="{87E96129-F216-4EDE-89AE-B4B0513AD225}"/>
    <hyperlink ref="G7" r:id="rId35" xr:uid="{956C5799-E7EA-430E-9C09-2FEC30D965A9}"/>
    <hyperlink ref="G5" r:id="rId36" xr:uid="{D09B3FC7-AA59-4C2F-9224-F0D655A5DB14}"/>
    <hyperlink ref="G11" r:id="rId37" xr:uid="{F1FE86E1-4D4E-4EC4-85A1-68838FC858C3}"/>
    <hyperlink ref="G12" r:id="rId38" xr:uid="{15F9D84F-269B-4D49-8A6C-3F1B68503374}"/>
    <hyperlink ref="G16" r:id="rId39" xr:uid="{5A318341-C410-48EF-AE8B-241CC8118961}"/>
    <hyperlink ref="G13" r:id="rId40" xr:uid="{74FCB628-C0F7-45F1-BBAC-CD759C63911C}"/>
    <hyperlink ref="K5" r:id="rId41" xr:uid="{0A43B8C0-C397-48F1-BB8D-FF35520349B0}"/>
    <hyperlink ref="K4" r:id="rId42" xr:uid="{F4F55854-65C1-4608-907F-4F8F6BA92B50}"/>
    <hyperlink ref="K3" r:id="rId43" xr:uid="{5260A957-8104-414B-861B-A6FC53EB58F1}"/>
    <hyperlink ref="K6" r:id="rId44" xr:uid="{EE4BA5FC-3436-4B22-9A01-BF15D4646A6C}"/>
    <hyperlink ref="K7" r:id="rId45" xr:uid="{A7001678-6E6A-43D6-9178-52B55E7DC7AF}"/>
    <hyperlink ref="O4" r:id="rId46" xr:uid="{AFC4EF42-3793-41B1-AB35-11A035247C3B}"/>
    <hyperlink ref="O8" r:id="rId47" xr:uid="{FFD8F7F4-9ED9-4C11-A0D3-5A9B2BAF1E64}"/>
    <hyperlink ref="O11" r:id="rId48" xr:uid="{D4494AD9-408D-4000-8767-D505F3AFB2EA}"/>
    <hyperlink ref="O10" r:id="rId49" xr:uid="{56A299F9-2F83-408F-9A44-2D2C4C725928}"/>
    <hyperlink ref="O9" r:id="rId50" xr:uid="{38A65BC4-9725-4E55-8AF4-0DFDAB21B98F}"/>
    <hyperlink ref="O6" r:id="rId51" xr:uid="{1BE93512-2632-4904-A845-B30C002F43EF}"/>
    <hyperlink ref="O7" r:id="rId52" xr:uid="{501690DF-2CF3-4491-B9DC-41FB56CDC115}"/>
    <hyperlink ref="O3" r:id="rId53" xr:uid="{989FC5A8-B4EF-4CF5-A2A0-652179AF9720}"/>
    <hyperlink ref="O5" r:id="rId54" xr:uid="{1BDFF672-22DC-44E0-A44C-53534B1A2C9B}"/>
    <hyperlink ref="S5" r:id="rId55" xr:uid="{6653AAA3-B4C3-40F3-85EF-7F4A7545542A}"/>
    <hyperlink ref="S3" r:id="rId56" xr:uid="{9116E718-9860-4F3D-B8D9-A9DD82161334}"/>
    <hyperlink ref="S6" r:id="rId57" xr:uid="{A996BC3C-C845-421C-B6FE-83C59A58645D}"/>
    <hyperlink ref="S7" r:id="rId58" xr:uid="{C7DC3BD3-D6B6-45E9-9356-C14EEAEFDE0F}"/>
    <hyperlink ref="S8" r:id="rId59" xr:uid="{0C2A6F5C-7CF2-4B0A-BD56-95DBE718B647}"/>
    <hyperlink ref="S4" r:id="rId60" xr:uid="{DEFA26A3-BE35-4B76-80A3-C9D77C63BCA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B7DD5-D368-4021-ACBA-BCBDC60F4638}">
  <dimension ref="A1:S28"/>
  <sheetViews>
    <sheetView workbookViewId="0">
      <pane ySplit="3" topLeftCell="A4" activePane="bottomLeft" state="frozen"/>
      <selection pane="bottomLeft" sqref="A1:B3"/>
    </sheetView>
  </sheetViews>
  <sheetFormatPr defaultRowHeight="18" x14ac:dyDescent="0.45"/>
  <cols>
    <col min="1" max="1" width="14.59765625" style="2" customWidth="1"/>
    <col min="2" max="2" width="5.3984375" style="2" bestFit="1" customWidth="1"/>
    <col min="9" max="9" width="12.3984375" bestFit="1" customWidth="1"/>
    <col min="13" max="13" width="6.796875" bestFit="1" customWidth="1"/>
    <col min="16" max="16" width="9.59765625" customWidth="1"/>
    <col min="17" max="17" width="14.59765625" bestFit="1" customWidth="1"/>
    <col min="18" max="18" width="39.09765625" bestFit="1" customWidth="1"/>
    <col min="19" max="19" width="34.8984375" bestFit="1" customWidth="1"/>
  </cols>
  <sheetData>
    <row r="1" spans="1:19" x14ac:dyDescent="0.45">
      <c r="A1" s="20"/>
      <c r="B1" s="20"/>
      <c r="C1" s="16" t="s">
        <v>252</v>
      </c>
      <c r="D1" s="16"/>
      <c r="E1" s="16"/>
      <c r="F1" s="16" t="s">
        <v>257</v>
      </c>
      <c r="G1" s="16"/>
      <c r="H1" s="16" t="s">
        <v>260</v>
      </c>
      <c r="I1" s="16"/>
      <c r="J1" s="16" t="s">
        <v>262</v>
      </c>
      <c r="K1" s="16" t="s">
        <v>269</v>
      </c>
      <c r="L1" s="17" t="s">
        <v>263</v>
      </c>
      <c r="M1" s="16" t="s">
        <v>264</v>
      </c>
      <c r="N1" s="16" t="s">
        <v>265</v>
      </c>
    </row>
    <row r="2" spans="1:19" x14ac:dyDescent="0.45">
      <c r="A2" s="20"/>
      <c r="B2" s="20"/>
      <c r="C2" s="16" t="s">
        <v>253</v>
      </c>
      <c r="D2" s="16"/>
      <c r="E2" s="16" t="s">
        <v>256</v>
      </c>
      <c r="F2" s="16" t="s">
        <v>258</v>
      </c>
      <c r="G2" s="16" t="s">
        <v>259</v>
      </c>
      <c r="H2" s="16" t="s">
        <v>261</v>
      </c>
      <c r="I2" s="16" t="s">
        <v>274</v>
      </c>
      <c r="J2" s="16"/>
      <c r="K2" s="16"/>
      <c r="L2" s="18"/>
      <c r="M2" s="16"/>
      <c r="N2" s="16"/>
    </row>
    <row r="3" spans="1:19" x14ac:dyDescent="0.45">
      <c r="A3" s="20"/>
      <c r="B3" s="20"/>
      <c r="C3" s="4" t="s">
        <v>255</v>
      </c>
      <c r="D3" s="4" t="s">
        <v>254</v>
      </c>
      <c r="E3" s="16"/>
      <c r="F3" s="16"/>
      <c r="G3" s="16"/>
      <c r="H3" s="16"/>
      <c r="I3" s="16"/>
      <c r="J3" s="16"/>
      <c r="K3" s="16"/>
      <c r="L3" s="19"/>
      <c r="M3" s="16"/>
      <c r="N3" s="16"/>
      <c r="O3" t="s">
        <v>301</v>
      </c>
      <c r="P3" t="s">
        <v>478</v>
      </c>
    </row>
    <row r="4" spans="1:19" x14ac:dyDescent="0.45">
      <c r="A4" s="4" t="s">
        <v>103</v>
      </c>
      <c r="B4" s="4">
        <v>1897</v>
      </c>
      <c r="C4" s="3"/>
      <c r="D4" s="3"/>
      <c r="E4" s="3"/>
      <c r="F4" s="3"/>
      <c r="G4" s="3"/>
      <c r="H4" s="3"/>
      <c r="I4" s="3"/>
      <c r="J4" s="3"/>
      <c r="K4" s="3"/>
      <c r="L4" s="14"/>
      <c r="M4" s="3"/>
      <c r="N4" s="3"/>
      <c r="O4">
        <f>SUM(H4,I4)</f>
        <v>0</v>
      </c>
      <c r="P4">
        <f>SUM(C4,D4,L4,M4)</f>
        <v>0</v>
      </c>
      <c r="Q4" t="s">
        <v>113</v>
      </c>
      <c r="R4" t="s">
        <v>275</v>
      </c>
      <c r="S4" s="1" t="s">
        <v>276</v>
      </c>
    </row>
    <row r="5" spans="1:19" x14ac:dyDescent="0.45">
      <c r="A5" s="4" t="s">
        <v>104</v>
      </c>
      <c r="B5" s="4">
        <v>1898</v>
      </c>
      <c r="C5" s="3"/>
      <c r="D5" s="3"/>
      <c r="E5" s="3"/>
      <c r="F5" s="3"/>
      <c r="G5" s="3"/>
      <c r="H5" s="3"/>
      <c r="I5" s="3"/>
      <c r="J5" s="3"/>
      <c r="K5" s="3"/>
      <c r="L5" s="14"/>
      <c r="M5" s="3"/>
      <c r="N5" s="3"/>
      <c r="O5">
        <f t="shared" ref="O5:O28" si="0">SUM(H5,I5)</f>
        <v>0</v>
      </c>
      <c r="P5">
        <f t="shared" ref="P5:P28" si="1">SUM(C5,D5,L5,M5)</f>
        <v>0</v>
      </c>
      <c r="Q5" t="s">
        <v>114</v>
      </c>
      <c r="R5" t="s">
        <v>277</v>
      </c>
      <c r="S5" s="1" t="s">
        <v>278</v>
      </c>
    </row>
    <row r="6" spans="1:19" x14ac:dyDescent="0.45">
      <c r="A6" s="4" t="s">
        <v>105</v>
      </c>
      <c r="B6" s="4">
        <v>1899</v>
      </c>
      <c r="C6" s="3"/>
      <c r="D6" s="3"/>
      <c r="E6" s="3"/>
      <c r="F6" s="3"/>
      <c r="G6" s="3"/>
      <c r="H6" s="3"/>
      <c r="I6" s="3"/>
      <c r="J6" s="3"/>
      <c r="K6" s="3"/>
      <c r="L6" s="14"/>
      <c r="M6" s="3"/>
      <c r="N6" s="3"/>
      <c r="O6">
        <f t="shared" si="0"/>
        <v>0</v>
      </c>
      <c r="P6">
        <f t="shared" si="1"/>
        <v>0</v>
      </c>
      <c r="Q6" t="s">
        <v>115</v>
      </c>
      <c r="R6" t="s">
        <v>296</v>
      </c>
      <c r="S6" s="1" t="s">
        <v>297</v>
      </c>
    </row>
    <row r="7" spans="1:19" x14ac:dyDescent="0.45">
      <c r="A7" s="4" t="s">
        <v>106</v>
      </c>
      <c r="B7" s="4">
        <v>1900</v>
      </c>
      <c r="C7" s="3"/>
      <c r="D7" s="3"/>
      <c r="E7" s="3"/>
      <c r="F7" s="3"/>
      <c r="G7" s="3"/>
      <c r="H7" s="3"/>
      <c r="I7" s="3"/>
      <c r="J7" s="3"/>
      <c r="K7" s="3"/>
      <c r="L7" s="14"/>
      <c r="M7" s="3"/>
      <c r="N7" s="3"/>
      <c r="O7">
        <f t="shared" si="0"/>
        <v>0</v>
      </c>
      <c r="P7">
        <f t="shared" si="1"/>
        <v>0</v>
      </c>
      <c r="Q7" t="s">
        <v>116</v>
      </c>
      <c r="R7" t="s">
        <v>272</v>
      </c>
      <c r="S7" s="1" t="s">
        <v>273</v>
      </c>
    </row>
    <row r="8" spans="1:19" x14ac:dyDescent="0.45">
      <c r="A8" s="4" t="s">
        <v>107</v>
      </c>
      <c r="B8" s="4">
        <v>1901</v>
      </c>
      <c r="C8" s="3"/>
      <c r="D8" s="3"/>
      <c r="E8" s="3"/>
      <c r="F8" s="3"/>
      <c r="G8" s="3"/>
      <c r="H8" s="3"/>
      <c r="I8" s="3"/>
      <c r="J8" s="3"/>
      <c r="K8" s="3"/>
      <c r="L8" s="14"/>
      <c r="M8" s="3"/>
      <c r="N8" s="3"/>
      <c r="O8">
        <f t="shared" si="0"/>
        <v>0</v>
      </c>
      <c r="P8">
        <f t="shared" si="1"/>
        <v>0</v>
      </c>
      <c r="Q8" t="s">
        <v>299</v>
      </c>
      <c r="R8" t="s">
        <v>298</v>
      </c>
      <c r="S8" s="1" t="s">
        <v>300</v>
      </c>
    </row>
    <row r="9" spans="1:19" x14ac:dyDescent="0.45">
      <c r="A9" s="4" t="s">
        <v>108</v>
      </c>
      <c r="B9" s="4">
        <v>1902</v>
      </c>
      <c r="C9" s="3"/>
      <c r="D9" s="3"/>
      <c r="E9" s="3"/>
      <c r="F9" s="3"/>
      <c r="G9" s="3"/>
      <c r="H9" s="3"/>
      <c r="I9" s="3"/>
      <c r="J9" s="3"/>
      <c r="K9" s="3"/>
      <c r="L9" s="14"/>
      <c r="M9" s="3"/>
      <c r="N9" s="3"/>
      <c r="O9">
        <f t="shared" si="0"/>
        <v>0</v>
      </c>
      <c r="P9">
        <f t="shared" si="1"/>
        <v>0</v>
      </c>
      <c r="Q9" t="s">
        <v>293</v>
      </c>
      <c r="R9" t="s">
        <v>294</v>
      </c>
      <c r="S9" s="1" t="s">
        <v>295</v>
      </c>
    </row>
    <row r="10" spans="1:19" x14ac:dyDescent="0.45">
      <c r="A10" s="4" t="s">
        <v>109</v>
      </c>
      <c r="B10" s="4">
        <v>1903</v>
      </c>
      <c r="C10" s="3"/>
      <c r="D10" s="3"/>
      <c r="E10" s="3"/>
      <c r="F10" s="3"/>
      <c r="G10" s="3"/>
      <c r="H10" s="3"/>
      <c r="I10" s="3"/>
      <c r="J10" s="3"/>
      <c r="K10" s="3"/>
      <c r="L10" s="14"/>
      <c r="M10" s="3"/>
      <c r="N10" s="3"/>
      <c r="O10">
        <f t="shared" si="0"/>
        <v>0</v>
      </c>
      <c r="P10">
        <f t="shared" si="1"/>
        <v>0</v>
      </c>
      <c r="Q10" t="s">
        <v>119</v>
      </c>
      <c r="R10" t="s">
        <v>291</v>
      </c>
      <c r="S10" s="1" t="s">
        <v>292</v>
      </c>
    </row>
    <row r="11" spans="1:19" x14ac:dyDescent="0.45">
      <c r="A11" s="4" t="s">
        <v>110</v>
      </c>
      <c r="B11" s="4">
        <v>1904</v>
      </c>
      <c r="C11" s="3"/>
      <c r="D11" s="3"/>
      <c r="E11" s="3"/>
      <c r="F11" s="3"/>
      <c r="G11" s="3"/>
      <c r="H11" s="3"/>
      <c r="I11" s="3"/>
      <c r="J11" s="3"/>
      <c r="K11" s="3"/>
      <c r="L11" s="14"/>
      <c r="M11" s="3"/>
      <c r="N11" s="3"/>
      <c r="O11">
        <f t="shared" si="0"/>
        <v>0</v>
      </c>
      <c r="P11">
        <f t="shared" si="1"/>
        <v>0</v>
      </c>
      <c r="Q11" t="s">
        <v>289</v>
      </c>
      <c r="R11" t="s">
        <v>288</v>
      </c>
      <c r="S11" s="1" t="s">
        <v>290</v>
      </c>
    </row>
    <row r="12" spans="1:19" x14ac:dyDescent="0.45">
      <c r="A12" s="4" t="s">
        <v>111</v>
      </c>
      <c r="B12" s="4">
        <v>1905</v>
      </c>
      <c r="C12" s="3"/>
      <c r="D12" s="3"/>
      <c r="E12" s="3"/>
      <c r="F12" s="3"/>
      <c r="G12" s="3"/>
      <c r="H12" s="3"/>
      <c r="I12" s="3"/>
      <c r="J12" s="3"/>
      <c r="K12" s="3"/>
      <c r="L12" s="14"/>
      <c r="M12" s="3"/>
      <c r="N12" s="3"/>
      <c r="O12">
        <f t="shared" si="0"/>
        <v>0</v>
      </c>
      <c r="P12">
        <f t="shared" si="1"/>
        <v>0</v>
      </c>
      <c r="Q12" t="s">
        <v>121</v>
      </c>
      <c r="R12" t="s">
        <v>13</v>
      </c>
      <c r="S12" s="1" t="s">
        <v>279</v>
      </c>
    </row>
    <row r="13" spans="1:19" x14ac:dyDescent="0.45">
      <c r="A13" s="4" t="s">
        <v>112</v>
      </c>
      <c r="B13" s="4">
        <v>1906</v>
      </c>
      <c r="C13" s="3"/>
      <c r="D13" s="3"/>
      <c r="E13" s="3"/>
      <c r="F13" s="3"/>
      <c r="G13" s="3"/>
      <c r="H13" s="3"/>
      <c r="I13" s="3"/>
      <c r="J13" s="3"/>
      <c r="K13" s="3"/>
      <c r="L13" s="3"/>
      <c r="M13" s="3"/>
      <c r="N13" s="3"/>
      <c r="O13">
        <f t="shared" si="0"/>
        <v>0</v>
      </c>
      <c r="P13">
        <f t="shared" si="1"/>
        <v>0</v>
      </c>
      <c r="Q13" t="s">
        <v>282</v>
      </c>
      <c r="R13" t="s">
        <v>280</v>
      </c>
      <c r="S13" s="1" t="s">
        <v>281</v>
      </c>
    </row>
    <row r="14" spans="1:19" x14ac:dyDescent="0.45">
      <c r="A14" s="4" t="s">
        <v>113</v>
      </c>
      <c r="B14" s="4">
        <v>1907</v>
      </c>
      <c r="C14" s="3">
        <v>4</v>
      </c>
      <c r="D14" s="3" t="s">
        <v>268</v>
      </c>
      <c r="E14" s="3">
        <v>322</v>
      </c>
      <c r="F14" s="3">
        <v>203</v>
      </c>
      <c r="G14" s="3" t="s">
        <v>268</v>
      </c>
      <c r="H14" s="3">
        <v>3</v>
      </c>
      <c r="I14" s="3">
        <v>1259</v>
      </c>
      <c r="J14" s="3" t="s">
        <v>268</v>
      </c>
      <c r="K14" s="3">
        <v>43</v>
      </c>
      <c r="L14" s="3"/>
      <c r="M14" s="3" t="s">
        <v>268</v>
      </c>
      <c r="N14" s="3">
        <v>1834</v>
      </c>
      <c r="O14">
        <f t="shared" si="0"/>
        <v>1262</v>
      </c>
      <c r="P14">
        <f>SUM(C14,D14,L14,M14)</f>
        <v>4</v>
      </c>
      <c r="Q14" t="s">
        <v>123</v>
      </c>
      <c r="R14" t="s">
        <v>283</v>
      </c>
      <c r="S14" s="1" t="s">
        <v>285</v>
      </c>
    </row>
    <row r="15" spans="1:19" x14ac:dyDescent="0.45">
      <c r="A15" s="4" t="s">
        <v>114</v>
      </c>
      <c r="B15" s="4">
        <v>1908</v>
      </c>
      <c r="C15" s="3">
        <v>5</v>
      </c>
      <c r="D15" s="3" t="s">
        <v>268</v>
      </c>
      <c r="E15" s="3">
        <v>342</v>
      </c>
      <c r="F15" s="3">
        <v>209</v>
      </c>
      <c r="G15" s="3" t="s">
        <v>268</v>
      </c>
      <c r="H15" s="3">
        <v>8</v>
      </c>
      <c r="I15" s="3">
        <v>1308</v>
      </c>
      <c r="J15" s="3" t="s">
        <v>268</v>
      </c>
      <c r="K15" s="3">
        <v>45</v>
      </c>
      <c r="L15" s="14"/>
      <c r="M15" s="3" t="s">
        <v>268</v>
      </c>
      <c r="N15" s="3">
        <v>2007</v>
      </c>
      <c r="O15">
        <f t="shared" si="0"/>
        <v>1316</v>
      </c>
      <c r="P15">
        <f t="shared" si="1"/>
        <v>5</v>
      </c>
      <c r="Q15" t="s">
        <v>284</v>
      </c>
      <c r="R15" t="s">
        <v>286</v>
      </c>
      <c r="S15" s="1" t="s">
        <v>287</v>
      </c>
    </row>
    <row r="16" spans="1:19" x14ac:dyDescent="0.45">
      <c r="A16" s="4" t="s">
        <v>115</v>
      </c>
      <c r="B16" s="4">
        <v>1909</v>
      </c>
      <c r="C16" s="3">
        <v>6</v>
      </c>
      <c r="D16" s="3" t="s">
        <v>268</v>
      </c>
      <c r="E16" s="3">
        <v>343</v>
      </c>
      <c r="F16" s="3">
        <v>213</v>
      </c>
      <c r="G16" s="3" t="s">
        <v>268</v>
      </c>
      <c r="H16" s="3">
        <v>3</v>
      </c>
      <c r="I16" s="3">
        <v>1535</v>
      </c>
      <c r="J16" s="3" t="s">
        <v>268</v>
      </c>
      <c r="K16" s="3">
        <v>51</v>
      </c>
      <c r="L16" s="14"/>
      <c r="M16" s="3" t="s">
        <v>268</v>
      </c>
      <c r="N16" s="3">
        <v>2151</v>
      </c>
      <c r="O16">
        <f t="shared" si="0"/>
        <v>1538</v>
      </c>
      <c r="P16">
        <f t="shared" si="1"/>
        <v>6</v>
      </c>
      <c r="Q16" t="s">
        <v>125</v>
      </c>
      <c r="R16" t="s">
        <v>266</v>
      </c>
      <c r="S16" s="1" t="s">
        <v>267</v>
      </c>
    </row>
    <row r="17" spans="1:19" x14ac:dyDescent="0.45">
      <c r="A17" s="4" t="s">
        <v>116</v>
      </c>
      <c r="B17" s="4">
        <v>1910</v>
      </c>
      <c r="C17" s="3">
        <v>7</v>
      </c>
      <c r="D17" s="3" t="s">
        <v>268</v>
      </c>
      <c r="E17" s="3">
        <v>375</v>
      </c>
      <c r="F17" s="3">
        <v>220</v>
      </c>
      <c r="G17" s="3" t="s">
        <v>268</v>
      </c>
      <c r="H17" s="3">
        <v>3</v>
      </c>
      <c r="I17" s="3">
        <v>1668</v>
      </c>
      <c r="J17" s="3" t="s">
        <v>268</v>
      </c>
      <c r="K17" s="3">
        <v>73</v>
      </c>
      <c r="L17" s="14"/>
      <c r="M17" s="3">
        <v>13</v>
      </c>
      <c r="N17" s="3">
        <v>2359</v>
      </c>
      <c r="O17">
        <f t="shared" si="0"/>
        <v>1671</v>
      </c>
      <c r="P17">
        <f>SUM(C17,D17,L17,M17)</f>
        <v>20</v>
      </c>
      <c r="Q17" t="s">
        <v>126</v>
      </c>
      <c r="R17" t="s">
        <v>270</v>
      </c>
      <c r="S17" s="1" t="s">
        <v>271</v>
      </c>
    </row>
    <row r="18" spans="1:19" x14ac:dyDescent="0.45">
      <c r="A18" s="4" t="s">
        <v>117</v>
      </c>
      <c r="B18" s="4">
        <v>1911</v>
      </c>
      <c r="C18" s="3">
        <v>10</v>
      </c>
      <c r="D18" s="3" t="s">
        <v>268</v>
      </c>
      <c r="E18" s="3">
        <v>381</v>
      </c>
      <c r="F18" s="3">
        <v>210</v>
      </c>
      <c r="G18" s="3" t="s">
        <v>268</v>
      </c>
      <c r="H18" s="3">
        <v>2</v>
      </c>
      <c r="I18" s="3">
        <v>1836</v>
      </c>
      <c r="J18" s="3" t="s">
        <v>268</v>
      </c>
      <c r="K18" s="3">
        <v>100</v>
      </c>
      <c r="L18" s="14"/>
      <c r="M18" s="3">
        <v>25</v>
      </c>
      <c r="N18" s="3">
        <v>2564</v>
      </c>
      <c r="O18">
        <f t="shared" si="0"/>
        <v>1838</v>
      </c>
      <c r="P18">
        <f>SUM(C18,D18,L18,M18)</f>
        <v>35</v>
      </c>
    </row>
    <row r="19" spans="1:19" x14ac:dyDescent="0.45">
      <c r="A19" s="4" t="s">
        <v>118</v>
      </c>
      <c r="B19" s="4">
        <v>1912</v>
      </c>
      <c r="C19" s="3"/>
      <c r="D19" s="3" t="s">
        <v>268</v>
      </c>
      <c r="E19" s="3">
        <v>381</v>
      </c>
      <c r="F19" s="3"/>
      <c r="G19" s="3" t="s">
        <v>268</v>
      </c>
      <c r="H19" s="3">
        <v>2</v>
      </c>
      <c r="I19" s="3">
        <v>2007</v>
      </c>
      <c r="J19" s="3" t="s">
        <v>268</v>
      </c>
      <c r="K19" s="3">
        <v>142</v>
      </c>
      <c r="L19" s="3"/>
      <c r="M19" s="3" t="s">
        <v>268</v>
      </c>
      <c r="N19" s="3">
        <v>2390</v>
      </c>
      <c r="O19">
        <f t="shared" si="0"/>
        <v>2009</v>
      </c>
      <c r="P19">
        <f>SUM(C19,D19,L19,M19)</f>
        <v>0</v>
      </c>
    </row>
    <row r="20" spans="1:19" x14ac:dyDescent="0.45">
      <c r="A20" s="4" t="s">
        <v>119</v>
      </c>
      <c r="B20" s="4">
        <v>1913</v>
      </c>
      <c r="C20" s="3">
        <v>23</v>
      </c>
      <c r="D20" s="3" t="s">
        <v>268</v>
      </c>
      <c r="E20" s="3">
        <v>381</v>
      </c>
      <c r="F20" s="3">
        <v>202</v>
      </c>
      <c r="G20" s="3" t="s">
        <v>268</v>
      </c>
      <c r="H20" s="3">
        <v>2</v>
      </c>
      <c r="I20" s="3">
        <v>2007</v>
      </c>
      <c r="J20" s="3" t="s">
        <v>268</v>
      </c>
      <c r="K20" s="3">
        <v>142</v>
      </c>
      <c r="L20" s="14" t="s">
        <v>268</v>
      </c>
      <c r="M20" s="3" t="s">
        <v>268</v>
      </c>
      <c r="N20" s="3">
        <v>2757</v>
      </c>
      <c r="O20">
        <f t="shared" si="0"/>
        <v>2009</v>
      </c>
      <c r="P20">
        <f t="shared" si="1"/>
        <v>23</v>
      </c>
    </row>
    <row r="21" spans="1:19" x14ac:dyDescent="0.45">
      <c r="A21" s="4" t="s">
        <v>120</v>
      </c>
      <c r="B21" s="4">
        <v>1914</v>
      </c>
      <c r="C21" s="3">
        <v>18</v>
      </c>
      <c r="D21" s="3" t="s">
        <v>268</v>
      </c>
      <c r="E21" s="3">
        <v>329</v>
      </c>
      <c r="F21" s="3">
        <v>189</v>
      </c>
      <c r="G21" s="3" t="s">
        <v>268</v>
      </c>
      <c r="H21" s="3">
        <v>2</v>
      </c>
      <c r="I21" s="3">
        <v>2250</v>
      </c>
      <c r="J21" s="3" t="s">
        <v>268</v>
      </c>
      <c r="K21" s="3">
        <v>335</v>
      </c>
      <c r="L21" s="14">
        <v>1</v>
      </c>
      <c r="M21" s="3">
        <v>50</v>
      </c>
      <c r="N21" s="3">
        <v>3174</v>
      </c>
      <c r="O21">
        <f t="shared" si="0"/>
        <v>2252</v>
      </c>
      <c r="P21">
        <f t="shared" si="1"/>
        <v>69</v>
      </c>
    </row>
    <row r="22" spans="1:19" x14ac:dyDescent="0.45">
      <c r="A22" s="4" t="s">
        <v>121</v>
      </c>
      <c r="B22" s="4">
        <v>1915</v>
      </c>
      <c r="C22" s="3">
        <v>25</v>
      </c>
      <c r="D22" s="3" t="s">
        <v>268</v>
      </c>
      <c r="E22" s="3">
        <v>385</v>
      </c>
      <c r="F22" s="3">
        <v>188</v>
      </c>
      <c r="G22" s="3" t="s">
        <v>268</v>
      </c>
      <c r="H22" s="3" t="s">
        <v>268</v>
      </c>
      <c r="I22" s="3">
        <v>2278</v>
      </c>
      <c r="J22" s="3" t="s">
        <v>268</v>
      </c>
      <c r="K22" s="3">
        <v>404</v>
      </c>
      <c r="L22" s="14" t="s">
        <v>268</v>
      </c>
      <c r="M22" s="3" t="s">
        <v>268</v>
      </c>
      <c r="N22" s="3">
        <v>3280</v>
      </c>
      <c r="O22">
        <f t="shared" si="0"/>
        <v>2278</v>
      </c>
      <c r="P22">
        <f t="shared" si="1"/>
        <v>25</v>
      </c>
    </row>
    <row r="23" spans="1:19" x14ac:dyDescent="0.45">
      <c r="A23" s="4" t="s">
        <v>122</v>
      </c>
      <c r="B23" s="4">
        <v>1916</v>
      </c>
      <c r="C23" s="3">
        <v>20</v>
      </c>
      <c r="D23" s="3" t="s">
        <v>268</v>
      </c>
      <c r="E23" s="3">
        <v>394</v>
      </c>
      <c r="F23" s="3">
        <v>180</v>
      </c>
      <c r="G23" s="3" t="s">
        <v>268</v>
      </c>
      <c r="H23" s="3">
        <v>5</v>
      </c>
      <c r="I23" s="3">
        <v>2305</v>
      </c>
      <c r="J23" s="3" t="s">
        <v>268</v>
      </c>
      <c r="K23" s="3">
        <v>414</v>
      </c>
      <c r="L23" s="14" t="s">
        <v>268</v>
      </c>
      <c r="M23" s="3" t="s">
        <v>268</v>
      </c>
      <c r="N23" s="3">
        <v>3318</v>
      </c>
      <c r="O23">
        <f t="shared" si="0"/>
        <v>2310</v>
      </c>
      <c r="P23">
        <f t="shared" si="1"/>
        <v>20</v>
      </c>
    </row>
    <row r="24" spans="1:19" x14ac:dyDescent="0.45">
      <c r="A24" s="4" t="s">
        <v>123</v>
      </c>
      <c r="B24" s="4">
        <v>1917</v>
      </c>
      <c r="C24" s="3">
        <v>24</v>
      </c>
      <c r="D24" s="3" t="s">
        <v>268</v>
      </c>
      <c r="E24" s="3">
        <v>394</v>
      </c>
      <c r="F24" s="3">
        <v>172</v>
      </c>
      <c r="G24" s="3" t="s">
        <v>268</v>
      </c>
      <c r="H24" s="3">
        <v>6</v>
      </c>
      <c r="I24" s="3">
        <v>2331</v>
      </c>
      <c r="J24" s="3" t="s">
        <v>268</v>
      </c>
      <c r="K24" s="3">
        <v>446</v>
      </c>
      <c r="L24" s="14" t="s">
        <v>268</v>
      </c>
      <c r="M24" s="3" t="s">
        <v>268</v>
      </c>
      <c r="N24" s="3">
        <v>3373</v>
      </c>
      <c r="O24">
        <f t="shared" si="0"/>
        <v>2337</v>
      </c>
      <c r="P24">
        <f t="shared" si="1"/>
        <v>24</v>
      </c>
    </row>
    <row r="25" spans="1:19" x14ac:dyDescent="0.45">
      <c r="A25" s="4" t="s">
        <v>124</v>
      </c>
      <c r="B25" s="4">
        <v>1918</v>
      </c>
      <c r="C25" s="3">
        <v>22</v>
      </c>
      <c r="D25" s="3" t="s">
        <v>268</v>
      </c>
      <c r="E25" s="3">
        <v>406</v>
      </c>
      <c r="F25" s="3">
        <v>173</v>
      </c>
      <c r="G25" s="3" t="s">
        <v>268</v>
      </c>
      <c r="H25" s="3">
        <v>6</v>
      </c>
      <c r="I25" s="3">
        <v>2384</v>
      </c>
      <c r="J25" s="3" t="s">
        <v>268</v>
      </c>
      <c r="K25" s="3">
        <v>564</v>
      </c>
      <c r="L25" s="14" t="s">
        <v>268</v>
      </c>
      <c r="M25" s="3" t="s">
        <v>268</v>
      </c>
      <c r="N25" s="3">
        <v>3555</v>
      </c>
      <c r="O25">
        <f t="shared" si="0"/>
        <v>2390</v>
      </c>
      <c r="P25">
        <f t="shared" si="1"/>
        <v>22</v>
      </c>
    </row>
    <row r="26" spans="1:19" x14ac:dyDescent="0.45">
      <c r="A26" s="4" t="s">
        <v>125</v>
      </c>
      <c r="B26" s="4">
        <v>1919</v>
      </c>
      <c r="C26" s="3">
        <v>24</v>
      </c>
      <c r="D26" s="3"/>
      <c r="E26" s="3">
        <v>434</v>
      </c>
      <c r="F26" s="3">
        <v>167</v>
      </c>
      <c r="G26" s="3" t="s">
        <v>268</v>
      </c>
      <c r="H26" s="3">
        <v>6</v>
      </c>
      <c r="I26" s="3">
        <v>2628</v>
      </c>
      <c r="J26" s="3" t="s">
        <v>268</v>
      </c>
      <c r="K26" s="3">
        <v>767</v>
      </c>
      <c r="L26" s="14">
        <v>2</v>
      </c>
      <c r="M26" s="3" t="s">
        <v>268</v>
      </c>
      <c r="N26" s="3">
        <v>4028</v>
      </c>
      <c r="O26">
        <f t="shared" si="0"/>
        <v>2634</v>
      </c>
      <c r="P26">
        <f t="shared" si="1"/>
        <v>26</v>
      </c>
    </row>
    <row r="27" spans="1:19" x14ac:dyDescent="0.45">
      <c r="A27" s="4" t="s">
        <v>126</v>
      </c>
      <c r="B27" s="4">
        <v>1920</v>
      </c>
      <c r="C27" s="3">
        <v>22</v>
      </c>
      <c r="D27" s="3" t="s">
        <v>268</v>
      </c>
      <c r="E27" s="3">
        <v>422</v>
      </c>
      <c r="F27" s="3">
        <v>171</v>
      </c>
      <c r="G27" s="3" t="s">
        <v>268</v>
      </c>
      <c r="H27" s="3">
        <v>6</v>
      </c>
      <c r="I27" s="3">
        <v>2817</v>
      </c>
      <c r="J27" s="3" t="s">
        <v>268</v>
      </c>
      <c r="K27" s="3">
        <v>1164</v>
      </c>
      <c r="L27" s="14">
        <v>2</v>
      </c>
      <c r="M27" s="3" t="s">
        <v>268</v>
      </c>
      <c r="N27" s="3">
        <v>4604</v>
      </c>
      <c r="O27">
        <f>SUM(H27,I27)</f>
        <v>2823</v>
      </c>
      <c r="P27">
        <f t="shared" si="1"/>
        <v>24</v>
      </c>
    </row>
    <row r="28" spans="1:19" x14ac:dyDescent="0.45">
      <c r="A28" s="4" t="s">
        <v>127</v>
      </c>
      <c r="B28" s="4">
        <v>1921</v>
      </c>
      <c r="C28" s="3"/>
      <c r="D28" s="3"/>
      <c r="E28" s="3"/>
      <c r="F28" s="3"/>
      <c r="G28" s="3"/>
      <c r="H28" s="3"/>
      <c r="I28" s="3"/>
      <c r="J28" s="3"/>
      <c r="K28" s="3"/>
      <c r="L28" s="14"/>
      <c r="M28" s="3"/>
      <c r="N28" s="3"/>
      <c r="O28">
        <f t="shared" si="0"/>
        <v>0</v>
      </c>
      <c r="P28">
        <f t="shared" si="1"/>
        <v>0</v>
      </c>
    </row>
  </sheetData>
  <mergeCells count="15">
    <mergeCell ref="C2:D2"/>
    <mergeCell ref="C1:E1"/>
    <mergeCell ref="A1:B3"/>
    <mergeCell ref="J1:J3"/>
    <mergeCell ref="H2:H3"/>
    <mergeCell ref="G2:G3"/>
    <mergeCell ref="I2:I3"/>
    <mergeCell ref="H1:I1"/>
    <mergeCell ref="F1:G1"/>
    <mergeCell ref="F2:F3"/>
    <mergeCell ref="N1:N3"/>
    <mergeCell ref="M1:M3"/>
    <mergeCell ref="K1:K3"/>
    <mergeCell ref="L1:L3"/>
    <mergeCell ref="E2:E3"/>
  </mergeCells>
  <phoneticPr fontId="1"/>
  <hyperlinks>
    <hyperlink ref="S16" r:id="rId1" xr:uid="{D3C91C19-E187-4FF0-88DC-06E69D847607}"/>
    <hyperlink ref="S17" r:id="rId2" xr:uid="{F71E4C5D-0C5A-494F-A5F1-7EF90BD6296A}"/>
    <hyperlink ref="S7" r:id="rId3" xr:uid="{8CF6F977-9BB9-4082-8B16-7BEDBE4E3148}"/>
    <hyperlink ref="S4" r:id="rId4" xr:uid="{073BF2E0-985D-4C73-B717-5AFECA0AD0F5}"/>
    <hyperlink ref="S5" r:id="rId5" xr:uid="{3F3E98E2-E1A8-48EC-AE48-801E8FD66876}"/>
    <hyperlink ref="S12" r:id="rId6" xr:uid="{2E4FDC40-DCAF-4509-A26B-1497B920892B}"/>
    <hyperlink ref="S13" r:id="rId7" xr:uid="{B3B28FCE-91E2-4005-AA00-5A21960AE772}"/>
    <hyperlink ref="S14" r:id="rId8" xr:uid="{9C417D07-BEA7-4B6E-9271-B95AA997BDB0}"/>
    <hyperlink ref="S15" r:id="rId9" xr:uid="{59B8A949-9A04-4360-8185-528D18379535}"/>
    <hyperlink ref="S11" r:id="rId10" xr:uid="{1EAC35B7-4512-4E00-9D30-0FB97D09C22D}"/>
    <hyperlink ref="S10" r:id="rId11" xr:uid="{8B558134-C88E-4066-A9C1-6784A7B9D294}"/>
    <hyperlink ref="S9" r:id="rId12" xr:uid="{251EDAB2-B14B-430A-B0C4-C37C92AD7ADC}"/>
    <hyperlink ref="S6" r:id="rId13" xr:uid="{43B52E96-606C-4368-8BEA-7DAF395C5319}"/>
    <hyperlink ref="S8" r:id="rId14" xr:uid="{62F3FE26-F1B8-4361-BE56-6BCE5C679BE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BEB01-DB5C-4832-9736-78025568D158}">
  <dimension ref="A1:K88"/>
  <sheetViews>
    <sheetView workbookViewId="0"/>
  </sheetViews>
  <sheetFormatPr defaultRowHeight="18" x14ac:dyDescent="0.45"/>
  <cols>
    <col min="1" max="1" width="8.59765625" bestFit="1" customWidth="1"/>
    <col min="2" max="2" width="18.296875" bestFit="1" customWidth="1"/>
    <col min="4" max="4" width="5.3984375" bestFit="1" customWidth="1"/>
    <col min="9" max="9" width="8.59765625" bestFit="1" customWidth="1"/>
    <col min="10" max="10" width="26.09765625" bestFit="1" customWidth="1"/>
    <col min="11" max="11" width="8.59765625" bestFit="1" customWidth="1"/>
  </cols>
  <sheetData>
    <row r="1" spans="1:11" x14ac:dyDescent="0.45">
      <c r="A1" t="s">
        <v>302</v>
      </c>
    </row>
    <row r="2" spans="1:11" x14ac:dyDescent="0.45">
      <c r="A2" s="22" t="s">
        <v>360</v>
      </c>
      <c r="B2" s="22"/>
      <c r="C2" s="22"/>
      <c r="I2" s="16" t="s">
        <v>418</v>
      </c>
      <c r="J2" s="16"/>
      <c r="K2" s="16"/>
    </row>
    <row r="3" spans="1:11" x14ac:dyDescent="0.45">
      <c r="A3" s="23" t="s">
        <v>359</v>
      </c>
      <c r="B3" s="23"/>
      <c r="C3" s="23"/>
      <c r="I3" s="21" t="s">
        <v>419</v>
      </c>
      <c r="J3" s="21"/>
      <c r="K3" s="21"/>
    </row>
    <row r="4" spans="1:11" x14ac:dyDescent="0.45">
      <c r="A4" s="4" t="s">
        <v>417</v>
      </c>
      <c r="B4" s="4" t="s">
        <v>304</v>
      </c>
      <c r="C4" s="4" t="s">
        <v>305</v>
      </c>
      <c r="D4" s="2" t="s">
        <v>475</v>
      </c>
      <c r="I4" s="4" t="s">
        <v>417</v>
      </c>
      <c r="J4" s="4" t="s">
        <v>304</v>
      </c>
      <c r="K4" s="4" t="s">
        <v>305</v>
      </c>
    </row>
    <row r="5" spans="1:11" x14ac:dyDescent="0.45">
      <c r="A5" s="16" t="s">
        <v>416</v>
      </c>
      <c r="B5" s="6" t="s">
        <v>303</v>
      </c>
      <c r="C5" s="3">
        <v>545</v>
      </c>
      <c r="D5" s="2" t="s">
        <v>476</v>
      </c>
      <c r="I5" s="16" t="s">
        <v>416</v>
      </c>
      <c r="J5" s="3" t="s">
        <v>420</v>
      </c>
      <c r="K5" s="3">
        <v>432</v>
      </c>
    </row>
    <row r="6" spans="1:11" ht="36" x14ac:dyDescent="0.45">
      <c r="A6" s="16"/>
      <c r="B6" s="6" t="s">
        <v>306</v>
      </c>
      <c r="C6" s="3">
        <v>617</v>
      </c>
      <c r="D6" s="2" t="s">
        <v>476</v>
      </c>
      <c r="I6" s="16"/>
      <c r="J6" s="3" t="s">
        <v>421</v>
      </c>
      <c r="K6" s="3">
        <v>31</v>
      </c>
    </row>
    <row r="7" spans="1:11" x14ac:dyDescent="0.45">
      <c r="A7" s="16"/>
      <c r="B7" s="6" t="s">
        <v>307</v>
      </c>
      <c r="C7" s="3">
        <v>107</v>
      </c>
      <c r="D7" s="2" t="s">
        <v>476</v>
      </c>
      <c r="I7" s="16"/>
      <c r="J7" s="3" t="s">
        <v>422</v>
      </c>
      <c r="K7" s="3">
        <v>858</v>
      </c>
    </row>
    <row r="8" spans="1:11" x14ac:dyDescent="0.45">
      <c r="A8" s="16"/>
      <c r="B8" s="6" t="s">
        <v>308</v>
      </c>
      <c r="C8" s="3">
        <v>200</v>
      </c>
      <c r="D8" s="2" t="s">
        <v>476</v>
      </c>
      <c r="I8" s="16"/>
      <c r="J8" s="3" t="s">
        <v>423</v>
      </c>
      <c r="K8" s="3">
        <v>104</v>
      </c>
    </row>
    <row r="9" spans="1:11" x14ac:dyDescent="0.45">
      <c r="A9" s="16"/>
      <c r="B9" s="6" t="s">
        <v>309</v>
      </c>
      <c r="C9" s="3">
        <v>510</v>
      </c>
      <c r="D9" s="2" t="s">
        <v>476</v>
      </c>
      <c r="I9" s="16"/>
      <c r="J9" s="3" t="s">
        <v>316</v>
      </c>
      <c r="K9" s="3">
        <v>432</v>
      </c>
    </row>
    <row r="10" spans="1:11" x14ac:dyDescent="0.45">
      <c r="A10" s="16"/>
      <c r="B10" s="6" t="s">
        <v>310</v>
      </c>
      <c r="C10" s="3">
        <v>69</v>
      </c>
      <c r="D10" s="2" t="s">
        <v>476</v>
      </c>
      <c r="I10" s="16"/>
      <c r="J10" s="3" t="s">
        <v>424</v>
      </c>
      <c r="K10" s="3">
        <v>1139</v>
      </c>
    </row>
    <row r="11" spans="1:11" x14ac:dyDescent="0.45">
      <c r="A11" s="16"/>
      <c r="B11" s="6" t="s">
        <v>311</v>
      </c>
      <c r="C11" s="3">
        <v>126</v>
      </c>
      <c r="D11" s="2"/>
      <c r="I11" s="16"/>
      <c r="J11" s="6" t="s">
        <v>319</v>
      </c>
      <c r="K11" s="3">
        <v>1765</v>
      </c>
    </row>
    <row r="12" spans="1:11" x14ac:dyDescent="0.45">
      <c r="A12" s="16"/>
      <c r="B12" s="6" t="s">
        <v>312</v>
      </c>
      <c r="C12" s="3">
        <v>200</v>
      </c>
      <c r="D12" s="2"/>
      <c r="I12" s="16"/>
      <c r="J12" s="6" t="s">
        <v>303</v>
      </c>
      <c r="K12" s="3">
        <v>345</v>
      </c>
    </row>
    <row r="13" spans="1:11" x14ac:dyDescent="0.45">
      <c r="A13" s="16"/>
      <c r="B13" s="6" t="s">
        <v>313</v>
      </c>
      <c r="C13" s="3">
        <v>281</v>
      </c>
      <c r="D13" s="2" t="s">
        <v>476</v>
      </c>
      <c r="I13" s="16"/>
      <c r="J13" s="6" t="s">
        <v>315</v>
      </c>
      <c r="K13" s="3">
        <v>131</v>
      </c>
    </row>
    <row r="14" spans="1:11" x14ac:dyDescent="0.45">
      <c r="A14" s="16"/>
      <c r="B14" s="6" t="s">
        <v>314</v>
      </c>
      <c r="C14" s="3">
        <v>418</v>
      </c>
      <c r="D14" s="2"/>
      <c r="I14" s="16"/>
      <c r="J14" s="6" t="s">
        <v>425</v>
      </c>
      <c r="K14" s="3">
        <v>1</v>
      </c>
    </row>
    <row r="15" spans="1:11" x14ac:dyDescent="0.45">
      <c r="A15" s="16"/>
      <c r="B15" s="6" t="s">
        <v>315</v>
      </c>
      <c r="C15" s="3">
        <v>426</v>
      </c>
      <c r="D15" s="2"/>
      <c r="I15" s="16"/>
      <c r="J15" s="6" t="s">
        <v>426</v>
      </c>
      <c r="K15" s="3">
        <v>204</v>
      </c>
    </row>
    <row r="16" spans="1:11" x14ac:dyDescent="0.45">
      <c r="A16" s="16"/>
      <c r="B16" s="6" t="s">
        <v>316</v>
      </c>
      <c r="C16" s="3">
        <v>209</v>
      </c>
      <c r="D16" s="2"/>
      <c r="I16" s="16"/>
      <c r="J16" s="6" t="s">
        <v>427</v>
      </c>
      <c r="K16" s="3">
        <v>1107</v>
      </c>
    </row>
    <row r="17" spans="1:11" ht="54" x14ac:dyDescent="0.45">
      <c r="A17" s="16"/>
      <c r="B17" s="6" t="s">
        <v>317</v>
      </c>
      <c r="C17" s="3">
        <v>43</v>
      </c>
      <c r="D17" s="2"/>
      <c r="I17" s="16"/>
      <c r="J17" s="6" t="s">
        <v>428</v>
      </c>
      <c r="K17" s="3">
        <v>1103</v>
      </c>
    </row>
    <row r="18" spans="1:11" x14ac:dyDescent="0.45">
      <c r="A18" s="16"/>
      <c r="B18" s="6" t="s">
        <v>318</v>
      </c>
      <c r="C18" s="3">
        <v>950</v>
      </c>
      <c r="D18" s="2" t="s">
        <v>476</v>
      </c>
      <c r="I18" s="16"/>
      <c r="J18" s="6" t="s">
        <v>313</v>
      </c>
      <c r="K18" s="3">
        <v>290</v>
      </c>
    </row>
    <row r="19" spans="1:11" x14ac:dyDescent="0.45">
      <c r="A19" s="16"/>
      <c r="B19" s="6" t="s">
        <v>319</v>
      </c>
      <c r="C19" s="3">
        <v>666</v>
      </c>
      <c r="D19" s="2"/>
      <c r="I19" s="16"/>
      <c r="J19" s="6" t="s">
        <v>429</v>
      </c>
      <c r="K19" s="3">
        <v>324</v>
      </c>
    </row>
    <row r="20" spans="1:11" x14ac:dyDescent="0.45">
      <c r="A20" s="4" t="s">
        <v>415</v>
      </c>
      <c r="B20" s="6" t="s">
        <v>320</v>
      </c>
      <c r="C20" s="3">
        <v>66</v>
      </c>
      <c r="D20" s="2"/>
      <c r="I20" s="16"/>
      <c r="J20" s="6" t="s">
        <v>430</v>
      </c>
      <c r="K20" s="3">
        <v>1</v>
      </c>
    </row>
    <row r="21" spans="1:11" x14ac:dyDescent="0.45">
      <c r="A21" s="16" t="s">
        <v>414</v>
      </c>
      <c r="B21" s="6" t="s">
        <v>321</v>
      </c>
      <c r="C21" s="3">
        <v>129</v>
      </c>
      <c r="D21" s="2"/>
      <c r="I21" s="16" t="s">
        <v>414</v>
      </c>
      <c r="J21" s="6" t="s">
        <v>431</v>
      </c>
      <c r="K21" s="3">
        <v>42</v>
      </c>
    </row>
    <row r="22" spans="1:11" x14ac:dyDescent="0.45">
      <c r="A22" s="16"/>
      <c r="B22" s="6" t="s">
        <v>322</v>
      </c>
      <c r="C22" s="3">
        <v>20</v>
      </c>
      <c r="D22" s="2"/>
      <c r="I22" s="16"/>
      <c r="J22" s="6" t="s">
        <v>432</v>
      </c>
      <c r="K22" s="3">
        <v>31</v>
      </c>
    </row>
    <row r="23" spans="1:11" ht="36" x14ac:dyDescent="0.45">
      <c r="A23" s="16"/>
      <c r="B23" s="6" t="s">
        <v>323</v>
      </c>
      <c r="C23" s="3">
        <v>9</v>
      </c>
      <c r="D23" s="2"/>
      <c r="I23" s="4" t="s">
        <v>474</v>
      </c>
      <c r="J23" s="6" t="s">
        <v>433</v>
      </c>
      <c r="K23" s="3">
        <v>10</v>
      </c>
    </row>
    <row r="24" spans="1:11" x14ac:dyDescent="0.45">
      <c r="A24" s="16"/>
      <c r="B24" s="6" t="s">
        <v>324</v>
      </c>
      <c r="C24" s="3">
        <v>1206</v>
      </c>
      <c r="D24" s="2" t="s">
        <v>476</v>
      </c>
      <c r="I24" s="16" t="s">
        <v>413</v>
      </c>
      <c r="J24" s="6" t="s">
        <v>327</v>
      </c>
      <c r="K24" s="3">
        <v>21</v>
      </c>
    </row>
    <row r="25" spans="1:11" x14ac:dyDescent="0.45">
      <c r="A25" s="16"/>
      <c r="B25" s="6" t="s">
        <v>325</v>
      </c>
      <c r="C25" s="3">
        <v>185</v>
      </c>
      <c r="D25" s="2"/>
      <c r="I25" s="16"/>
      <c r="J25" s="6" t="s">
        <v>434</v>
      </c>
      <c r="K25" s="3">
        <v>312</v>
      </c>
    </row>
    <row r="26" spans="1:11" x14ac:dyDescent="0.45">
      <c r="A26" s="16" t="s">
        <v>413</v>
      </c>
      <c r="B26" s="6" t="s">
        <v>326</v>
      </c>
      <c r="C26" s="3">
        <v>7</v>
      </c>
      <c r="D26" s="2"/>
      <c r="I26" s="4" t="s">
        <v>412</v>
      </c>
      <c r="J26" s="6" t="s">
        <v>329</v>
      </c>
      <c r="K26" s="3">
        <v>214</v>
      </c>
    </row>
    <row r="27" spans="1:11" x14ac:dyDescent="0.45">
      <c r="A27" s="16"/>
      <c r="B27" s="6" t="s">
        <v>327</v>
      </c>
      <c r="C27" s="3">
        <v>25</v>
      </c>
      <c r="D27" s="2"/>
      <c r="I27" s="4" t="s">
        <v>411</v>
      </c>
      <c r="J27" s="6" t="s">
        <v>435</v>
      </c>
      <c r="K27" s="3">
        <v>5601</v>
      </c>
    </row>
    <row r="28" spans="1:11" x14ac:dyDescent="0.45">
      <c r="A28" s="16"/>
      <c r="B28" s="6" t="s">
        <v>328</v>
      </c>
      <c r="C28" s="3">
        <v>422</v>
      </c>
      <c r="D28" s="15" t="s">
        <v>477</v>
      </c>
      <c r="I28" s="4" t="s">
        <v>409</v>
      </c>
      <c r="J28" s="6" t="s">
        <v>436</v>
      </c>
      <c r="K28" s="3">
        <v>14</v>
      </c>
    </row>
    <row r="29" spans="1:11" x14ac:dyDescent="0.45">
      <c r="A29" s="16" t="s">
        <v>412</v>
      </c>
      <c r="B29" s="6" t="s">
        <v>329</v>
      </c>
      <c r="C29" s="3">
        <v>703</v>
      </c>
      <c r="D29" s="2"/>
      <c r="I29" s="16" t="s">
        <v>408</v>
      </c>
      <c r="J29" s="6" t="s">
        <v>437</v>
      </c>
      <c r="K29" s="3">
        <v>54</v>
      </c>
    </row>
    <row r="30" spans="1:11" x14ac:dyDescent="0.45">
      <c r="A30" s="16"/>
      <c r="B30" s="6" t="s">
        <v>330</v>
      </c>
      <c r="C30" s="3">
        <v>3658</v>
      </c>
      <c r="D30" s="2"/>
      <c r="I30" s="16"/>
      <c r="J30" s="6" t="s">
        <v>438</v>
      </c>
      <c r="K30" s="3">
        <v>527</v>
      </c>
    </row>
    <row r="31" spans="1:11" ht="54" x14ac:dyDescent="0.45">
      <c r="A31" s="4" t="s">
        <v>411</v>
      </c>
      <c r="B31" s="6" t="s">
        <v>331</v>
      </c>
      <c r="C31" s="3">
        <v>14</v>
      </c>
      <c r="D31" s="2"/>
      <c r="I31" s="16"/>
      <c r="J31" s="6" t="s">
        <v>439</v>
      </c>
      <c r="K31" s="3">
        <v>47</v>
      </c>
    </row>
    <row r="32" spans="1:11" x14ac:dyDescent="0.45">
      <c r="A32" s="4" t="s">
        <v>410</v>
      </c>
      <c r="B32" s="6" t="s">
        <v>332</v>
      </c>
      <c r="C32" s="3">
        <v>133</v>
      </c>
      <c r="D32" s="2"/>
      <c r="I32" s="16"/>
      <c r="J32" s="6" t="s">
        <v>440</v>
      </c>
      <c r="K32" s="3">
        <v>93</v>
      </c>
    </row>
    <row r="33" spans="1:11" ht="36" x14ac:dyDescent="0.45">
      <c r="A33" s="4" t="s">
        <v>409</v>
      </c>
      <c r="B33" s="6" t="s">
        <v>333</v>
      </c>
      <c r="C33" s="3">
        <v>28</v>
      </c>
      <c r="D33" s="2"/>
      <c r="I33" s="16" t="s">
        <v>407</v>
      </c>
      <c r="J33" s="6" t="s">
        <v>336</v>
      </c>
      <c r="K33" s="3">
        <v>493</v>
      </c>
    </row>
    <row r="34" spans="1:11" x14ac:dyDescent="0.45">
      <c r="A34" s="16" t="s">
        <v>408</v>
      </c>
      <c r="B34" s="6" t="s">
        <v>334</v>
      </c>
      <c r="C34" s="3">
        <v>8</v>
      </c>
      <c r="D34" s="2"/>
      <c r="I34" s="16"/>
      <c r="J34" s="6" t="s">
        <v>441</v>
      </c>
      <c r="K34" s="3">
        <v>651</v>
      </c>
    </row>
    <row r="35" spans="1:11" x14ac:dyDescent="0.45">
      <c r="A35" s="16"/>
      <c r="B35" s="6" t="s">
        <v>335</v>
      </c>
      <c r="C35" s="3">
        <v>28</v>
      </c>
      <c r="D35" s="2"/>
      <c r="I35" s="16"/>
      <c r="J35" s="6" t="s">
        <v>337</v>
      </c>
      <c r="K35" s="3">
        <v>838</v>
      </c>
    </row>
    <row r="36" spans="1:11" x14ac:dyDescent="0.45">
      <c r="A36" s="16" t="s">
        <v>407</v>
      </c>
      <c r="B36" s="6" t="s">
        <v>336</v>
      </c>
      <c r="C36" s="3">
        <v>2465</v>
      </c>
      <c r="D36" s="15" t="s">
        <v>477</v>
      </c>
      <c r="I36" s="16" t="s">
        <v>406</v>
      </c>
      <c r="J36" s="6" t="s">
        <v>339</v>
      </c>
      <c r="K36" s="3">
        <v>7</v>
      </c>
    </row>
    <row r="37" spans="1:11" x14ac:dyDescent="0.45">
      <c r="A37" s="16"/>
      <c r="B37" s="6" t="s">
        <v>337</v>
      </c>
      <c r="C37" s="3">
        <v>1624</v>
      </c>
      <c r="D37" s="2"/>
      <c r="I37" s="16"/>
      <c r="J37" s="6" t="s">
        <v>442</v>
      </c>
      <c r="K37" s="3">
        <v>12</v>
      </c>
    </row>
    <row r="38" spans="1:11" x14ac:dyDescent="0.45">
      <c r="A38" s="16" t="s">
        <v>406</v>
      </c>
      <c r="B38" s="6" t="s">
        <v>338</v>
      </c>
      <c r="C38" s="3">
        <v>80</v>
      </c>
      <c r="D38" s="2"/>
      <c r="I38" s="16"/>
      <c r="J38" s="6" t="s">
        <v>443</v>
      </c>
      <c r="K38" s="3">
        <v>37</v>
      </c>
    </row>
    <row r="39" spans="1:11" x14ac:dyDescent="0.45">
      <c r="A39" s="16"/>
      <c r="B39" s="6" t="s">
        <v>339</v>
      </c>
      <c r="C39" s="3">
        <v>21</v>
      </c>
      <c r="D39" s="2"/>
      <c r="I39" s="16"/>
      <c r="J39" s="6" t="s">
        <v>336</v>
      </c>
      <c r="K39" s="3">
        <v>136</v>
      </c>
    </row>
    <row r="40" spans="1:11" x14ac:dyDescent="0.45">
      <c r="A40" s="16"/>
      <c r="B40" s="6" t="s">
        <v>340</v>
      </c>
      <c r="C40" s="3">
        <v>369</v>
      </c>
      <c r="D40" s="2"/>
      <c r="I40" s="16" t="s">
        <v>404</v>
      </c>
      <c r="J40" s="6" t="s">
        <v>343</v>
      </c>
      <c r="K40" s="3">
        <v>71</v>
      </c>
    </row>
    <row r="41" spans="1:11" ht="36" x14ac:dyDescent="0.45">
      <c r="A41" s="4" t="s">
        <v>405</v>
      </c>
      <c r="B41" s="6" t="s">
        <v>341</v>
      </c>
      <c r="C41" s="3">
        <v>19</v>
      </c>
      <c r="D41" s="2"/>
      <c r="I41" s="16"/>
      <c r="J41" s="6" t="s">
        <v>444</v>
      </c>
      <c r="K41" s="3">
        <v>13</v>
      </c>
    </row>
    <row r="42" spans="1:11" x14ac:dyDescent="0.45">
      <c r="A42" s="16" t="s">
        <v>404</v>
      </c>
      <c r="B42" s="6" t="s">
        <v>342</v>
      </c>
      <c r="C42" s="3">
        <v>6</v>
      </c>
      <c r="D42" s="2"/>
      <c r="I42" s="4" t="s">
        <v>402</v>
      </c>
      <c r="J42" s="6" t="s">
        <v>442</v>
      </c>
      <c r="K42" s="3">
        <v>14</v>
      </c>
    </row>
    <row r="43" spans="1:11" x14ac:dyDescent="0.45">
      <c r="A43" s="16"/>
      <c r="B43" s="6" t="s">
        <v>343</v>
      </c>
      <c r="C43" s="3">
        <v>23</v>
      </c>
      <c r="D43" s="2"/>
      <c r="I43" s="16" t="s">
        <v>401</v>
      </c>
      <c r="J43" s="6" t="s">
        <v>445</v>
      </c>
      <c r="K43" s="3">
        <v>24</v>
      </c>
    </row>
    <row r="44" spans="1:11" ht="36" x14ac:dyDescent="0.45">
      <c r="A44" s="16"/>
      <c r="B44" s="6" t="s">
        <v>344</v>
      </c>
      <c r="C44" s="3">
        <v>9</v>
      </c>
      <c r="D44" s="2"/>
      <c r="I44" s="16"/>
      <c r="J44" s="6" t="s">
        <v>446</v>
      </c>
      <c r="K44" s="3">
        <v>36</v>
      </c>
    </row>
    <row r="45" spans="1:11" x14ac:dyDescent="0.45">
      <c r="A45" s="4" t="s">
        <v>402</v>
      </c>
      <c r="B45" s="6" t="s">
        <v>340</v>
      </c>
      <c r="C45" s="3">
        <v>14</v>
      </c>
      <c r="D45" s="2" t="s">
        <v>345</v>
      </c>
      <c r="I45" s="4" t="s">
        <v>400</v>
      </c>
      <c r="J45" s="6" t="s">
        <v>447</v>
      </c>
      <c r="K45" s="3">
        <v>19</v>
      </c>
    </row>
    <row r="46" spans="1:11" x14ac:dyDescent="0.45">
      <c r="A46" s="4" t="s">
        <v>403</v>
      </c>
      <c r="B46" s="6" t="s">
        <v>340</v>
      </c>
      <c r="C46" s="3">
        <v>57</v>
      </c>
      <c r="D46" s="2"/>
      <c r="I46" s="16" t="s">
        <v>396</v>
      </c>
      <c r="J46" s="6" t="s">
        <v>448</v>
      </c>
      <c r="K46" s="3">
        <v>1</v>
      </c>
    </row>
    <row r="47" spans="1:11" x14ac:dyDescent="0.45">
      <c r="A47" s="16" t="s">
        <v>401</v>
      </c>
      <c r="B47" s="6" t="s">
        <v>346</v>
      </c>
      <c r="C47" s="3">
        <v>1</v>
      </c>
      <c r="D47" s="2"/>
      <c r="I47" s="16"/>
      <c r="J47" s="6" t="s">
        <v>362</v>
      </c>
      <c r="K47" s="3">
        <v>110</v>
      </c>
    </row>
    <row r="48" spans="1:11" x14ac:dyDescent="0.45">
      <c r="A48" s="16"/>
      <c r="B48" s="6" t="s">
        <v>342</v>
      </c>
      <c r="C48" s="3">
        <v>69</v>
      </c>
      <c r="D48" s="2"/>
      <c r="I48" s="16"/>
      <c r="J48" s="6" t="s">
        <v>449</v>
      </c>
      <c r="K48" s="3">
        <v>119</v>
      </c>
    </row>
    <row r="49" spans="1:11" ht="36" x14ac:dyDescent="0.45">
      <c r="A49" s="16" t="s">
        <v>400</v>
      </c>
      <c r="B49" s="6" t="s">
        <v>347</v>
      </c>
      <c r="C49" s="3">
        <v>762</v>
      </c>
      <c r="D49" s="2"/>
      <c r="I49" s="16"/>
      <c r="J49" s="6" t="s">
        <v>450</v>
      </c>
      <c r="K49" s="3">
        <v>10</v>
      </c>
    </row>
    <row r="50" spans="1:11" ht="36" x14ac:dyDescent="0.45">
      <c r="A50" s="16"/>
      <c r="B50" s="6" t="s">
        <v>348</v>
      </c>
      <c r="C50" s="3">
        <v>1367</v>
      </c>
      <c r="D50" s="2"/>
      <c r="I50" s="16"/>
      <c r="J50" s="6" t="s">
        <v>451</v>
      </c>
      <c r="K50" s="3">
        <v>12</v>
      </c>
    </row>
    <row r="51" spans="1:11" x14ac:dyDescent="0.45">
      <c r="A51" s="16"/>
      <c r="B51" s="6" t="s">
        <v>361</v>
      </c>
      <c r="C51" s="3">
        <v>582</v>
      </c>
      <c r="D51" s="2"/>
      <c r="I51" s="16"/>
      <c r="J51" s="6" t="s">
        <v>452</v>
      </c>
      <c r="K51" s="3">
        <v>550</v>
      </c>
    </row>
    <row r="52" spans="1:11" x14ac:dyDescent="0.45">
      <c r="A52" s="4" t="s">
        <v>399</v>
      </c>
      <c r="B52" s="6" t="s">
        <v>349</v>
      </c>
      <c r="C52" s="3">
        <v>16</v>
      </c>
      <c r="D52" s="15" t="s">
        <v>477</v>
      </c>
      <c r="I52" s="16"/>
      <c r="J52" s="6" t="s">
        <v>453</v>
      </c>
      <c r="K52" s="3">
        <v>164</v>
      </c>
    </row>
    <row r="53" spans="1:11" x14ac:dyDescent="0.45">
      <c r="A53" s="16" t="s">
        <v>398</v>
      </c>
      <c r="B53" s="6" t="s">
        <v>350</v>
      </c>
      <c r="C53" s="3">
        <v>415</v>
      </c>
      <c r="D53" s="2"/>
      <c r="I53" s="16"/>
      <c r="J53" s="6" t="s">
        <v>473</v>
      </c>
      <c r="K53" s="3">
        <v>1</v>
      </c>
    </row>
    <row r="54" spans="1:11" x14ac:dyDescent="0.45">
      <c r="A54" s="16"/>
      <c r="B54" s="6" t="s">
        <v>351</v>
      </c>
      <c r="C54" s="3">
        <v>366</v>
      </c>
      <c r="D54" s="2"/>
      <c r="I54" s="16" t="s">
        <v>398</v>
      </c>
      <c r="J54" s="6" t="s">
        <v>454</v>
      </c>
      <c r="K54" s="3">
        <v>16</v>
      </c>
    </row>
    <row r="55" spans="1:11" x14ac:dyDescent="0.45">
      <c r="A55" s="16"/>
      <c r="B55" s="6" t="s">
        <v>352</v>
      </c>
      <c r="C55" s="3">
        <v>474</v>
      </c>
      <c r="D55" s="2"/>
      <c r="I55" s="16"/>
      <c r="J55" s="6" t="s">
        <v>455</v>
      </c>
      <c r="K55" s="3">
        <v>440</v>
      </c>
    </row>
    <row r="56" spans="1:11" x14ac:dyDescent="0.45">
      <c r="A56" s="16" t="s">
        <v>397</v>
      </c>
      <c r="B56" s="6" t="s">
        <v>353</v>
      </c>
      <c r="C56" s="3">
        <v>689</v>
      </c>
      <c r="D56" s="2"/>
      <c r="I56" s="16" t="s">
        <v>397</v>
      </c>
      <c r="J56" s="6" t="s">
        <v>353</v>
      </c>
      <c r="K56" s="3">
        <v>80</v>
      </c>
    </row>
    <row r="57" spans="1:11" x14ac:dyDescent="0.45">
      <c r="A57" s="16"/>
      <c r="B57" s="6" t="s">
        <v>354</v>
      </c>
      <c r="C57" s="3">
        <v>286</v>
      </c>
      <c r="D57" s="2"/>
      <c r="I57" s="16"/>
      <c r="J57" s="6" t="s">
        <v>456</v>
      </c>
      <c r="K57" s="3">
        <v>16</v>
      </c>
    </row>
    <row r="58" spans="1:11" x14ac:dyDescent="0.45">
      <c r="A58" s="16" t="s">
        <v>396</v>
      </c>
      <c r="B58" s="6" t="s">
        <v>355</v>
      </c>
      <c r="C58" s="3">
        <v>577</v>
      </c>
      <c r="D58" s="2"/>
      <c r="I58" s="4" t="s">
        <v>395</v>
      </c>
      <c r="J58" s="6" t="s">
        <v>457</v>
      </c>
      <c r="K58" s="3">
        <v>1</v>
      </c>
    </row>
    <row r="59" spans="1:11" x14ac:dyDescent="0.45">
      <c r="A59" s="16"/>
      <c r="B59" s="6" t="s">
        <v>356</v>
      </c>
      <c r="C59" s="3">
        <v>227</v>
      </c>
      <c r="D59" s="2"/>
      <c r="I59" s="16" t="s">
        <v>393</v>
      </c>
      <c r="J59" s="6" t="s">
        <v>320</v>
      </c>
      <c r="K59" s="3">
        <v>69</v>
      </c>
    </row>
    <row r="60" spans="1:11" x14ac:dyDescent="0.45">
      <c r="A60" s="16"/>
      <c r="B60" s="6" t="s">
        <v>357</v>
      </c>
      <c r="C60" s="3">
        <v>104</v>
      </c>
      <c r="D60" s="2"/>
      <c r="I60" s="16"/>
      <c r="J60" s="6" t="s">
        <v>458</v>
      </c>
      <c r="K60" s="3">
        <v>307</v>
      </c>
    </row>
    <row r="61" spans="1:11" ht="36" x14ac:dyDescent="0.45">
      <c r="A61" s="16"/>
      <c r="B61" s="6" t="s">
        <v>358</v>
      </c>
      <c r="C61" s="3">
        <v>14</v>
      </c>
      <c r="D61" s="2"/>
      <c r="I61" s="16"/>
      <c r="J61" s="6" t="s">
        <v>459</v>
      </c>
      <c r="K61" s="3">
        <v>911</v>
      </c>
    </row>
    <row r="62" spans="1:11" x14ac:dyDescent="0.45">
      <c r="A62" s="16"/>
      <c r="B62" s="6" t="s">
        <v>362</v>
      </c>
      <c r="C62" s="3">
        <v>148</v>
      </c>
      <c r="D62" s="2"/>
      <c r="I62" s="16"/>
      <c r="J62" s="6" t="s">
        <v>460</v>
      </c>
      <c r="K62" s="3">
        <v>621</v>
      </c>
    </row>
    <row r="63" spans="1:11" ht="36" x14ac:dyDescent="0.45">
      <c r="A63" s="16"/>
      <c r="B63" s="6" t="s">
        <v>363</v>
      </c>
      <c r="C63" s="3">
        <v>592</v>
      </c>
      <c r="D63" s="2"/>
      <c r="I63" s="4" t="s">
        <v>472</v>
      </c>
      <c r="J63" s="6" t="s">
        <v>461</v>
      </c>
      <c r="K63" s="3">
        <v>2832</v>
      </c>
    </row>
    <row r="64" spans="1:11" x14ac:dyDescent="0.45">
      <c r="A64" s="16"/>
      <c r="B64" s="6" t="s">
        <v>364</v>
      </c>
      <c r="C64" s="3">
        <v>1</v>
      </c>
      <c r="D64" s="2"/>
      <c r="I64" s="16" t="s">
        <v>392</v>
      </c>
      <c r="J64" s="6" t="s">
        <v>372</v>
      </c>
      <c r="K64" s="3">
        <v>18</v>
      </c>
    </row>
    <row r="65" spans="1:11" x14ac:dyDescent="0.45">
      <c r="A65" s="4" t="s">
        <v>395</v>
      </c>
      <c r="B65" s="6" t="s">
        <v>365</v>
      </c>
      <c r="C65" s="3">
        <v>10</v>
      </c>
      <c r="D65" s="2"/>
      <c r="I65" s="16"/>
      <c r="J65" s="6" t="s">
        <v>462</v>
      </c>
      <c r="K65" s="3">
        <v>4485</v>
      </c>
    </row>
    <row r="66" spans="1:11" x14ac:dyDescent="0.45">
      <c r="A66" s="4" t="s">
        <v>394</v>
      </c>
      <c r="B66" s="6" t="s">
        <v>366</v>
      </c>
      <c r="C66" s="3">
        <v>1</v>
      </c>
      <c r="D66" s="2"/>
      <c r="I66" s="16"/>
      <c r="J66" s="6" t="s">
        <v>463</v>
      </c>
      <c r="K66" s="3">
        <v>501</v>
      </c>
    </row>
    <row r="67" spans="1:11" x14ac:dyDescent="0.45">
      <c r="A67" s="16" t="s">
        <v>393</v>
      </c>
      <c r="B67" s="6" t="s">
        <v>367</v>
      </c>
      <c r="C67" s="3">
        <v>186</v>
      </c>
      <c r="D67" s="2"/>
      <c r="I67" s="16"/>
      <c r="J67" s="6" t="s">
        <v>464</v>
      </c>
      <c r="K67" s="3">
        <v>48</v>
      </c>
    </row>
    <row r="68" spans="1:11" x14ac:dyDescent="0.45">
      <c r="A68" s="16"/>
      <c r="B68" s="6" t="s">
        <v>368</v>
      </c>
      <c r="C68" s="3">
        <v>461</v>
      </c>
      <c r="D68" s="2"/>
      <c r="I68" s="16" t="s">
        <v>391</v>
      </c>
      <c r="J68" s="6" t="s">
        <v>376</v>
      </c>
      <c r="K68" s="3">
        <v>26</v>
      </c>
    </row>
    <row r="69" spans="1:11" x14ac:dyDescent="0.45">
      <c r="A69" s="16"/>
      <c r="B69" s="6" t="s">
        <v>320</v>
      </c>
      <c r="C69" s="3">
        <v>7</v>
      </c>
      <c r="D69" s="2"/>
      <c r="I69" s="16"/>
      <c r="J69" s="6" t="s">
        <v>374</v>
      </c>
      <c r="K69" s="3">
        <v>26</v>
      </c>
    </row>
    <row r="70" spans="1:11" x14ac:dyDescent="0.45">
      <c r="A70" s="16"/>
      <c r="B70" s="6" t="s">
        <v>369</v>
      </c>
      <c r="C70" s="3">
        <v>300</v>
      </c>
      <c r="D70" s="2"/>
      <c r="I70" s="4" t="s">
        <v>390</v>
      </c>
      <c r="J70" s="6" t="s">
        <v>336</v>
      </c>
      <c r="K70" s="3">
        <v>483</v>
      </c>
    </row>
    <row r="71" spans="1:11" x14ac:dyDescent="0.45">
      <c r="A71" s="16"/>
      <c r="B71" s="6" t="s">
        <v>370</v>
      </c>
      <c r="C71" s="3">
        <v>14</v>
      </c>
      <c r="D71" s="2"/>
      <c r="I71" s="4" t="s">
        <v>389</v>
      </c>
      <c r="J71" s="6" t="s">
        <v>465</v>
      </c>
      <c r="K71" s="3">
        <v>38</v>
      </c>
    </row>
    <row r="72" spans="1:11" x14ac:dyDescent="0.45">
      <c r="A72" s="16" t="s">
        <v>392</v>
      </c>
      <c r="B72" s="6" t="s">
        <v>371</v>
      </c>
      <c r="C72" s="3">
        <v>54</v>
      </c>
      <c r="D72" s="2"/>
      <c r="I72" s="4" t="s">
        <v>388</v>
      </c>
      <c r="J72" s="6" t="s">
        <v>380</v>
      </c>
      <c r="K72" s="3">
        <v>629</v>
      </c>
    </row>
    <row r="73" spans="1:11" x14ac:dyDescent="0.45">
      <c r="A73" s="16"/>
      <c r="B73" s="6" t="s">
        <v>372</v>
      </c>
      <c r="C73" s="3">
        <v>402</v>
      </c>
      <c r="D73" s="2"/>
      <c r="I73" s="4" t="s">
        <v>387</v>
      </c>
      <c r="J73" s="6" t="s">
        <v>381</v>
      </c>
      <c r="K73" s="3">
        <v>10</v>
      </c>
    </row>
    <row r="74" spans="1:11" x14ac:dyDescent="0.45">
      <c r="A74" s="16" t="s">
        <v>391</v>
      </c>
      <c r="B74" s="6" t="s">
        <v>373</v>
      </c>
      <c r="C74" s="3">
        <v>57</v>
      </c>
      <c r="D74" s="2"/>
      <c r="I74" s="4" t="s">
        <v>471</v>
      </c>
      <c r="J74" s="6" t="s">
        <v>373</v>
      </c>
      <c r="K74" s="3">
        <v>69</v>
      </c>
    </row>
    <row r="75" spans="1:11" x14ac:dyDescent="0.45">
      <c r="A75" s="16"/>
      <c r="B75" s="6" t="s">
        <v>374</v>
      </c>
      <c r="C75" s="3">
        <v>15</v>
      </c>
      <c r="D75" s="2"/>
      <c r="I75" s="4" t="s">
        <v>470</v>
      </c>
      <c r="J75" s="6" t="s">
        <v>433</v>
      </c>
      <c r="K75" s="3">
        <v>18</v>
      </c>
    </row>
    <row r="76" spans="1:11" x14ac:dyDescent="0.45">
      <c r="A76" s="16"/>
      <c r="B76" s="6" t="s">
        <v>375</v>
      </c>
      <c r="C76" s="3">
        <v>11</v>
      </c>
      <c r="D76" s="2"/>
      <c r="I76" s="16" t="s">
        <v>386</v>
      </c>
      <c r="J76" s="6" t="s">
        <v>466</v>
      </c>
      <c r="K76" s="3">
        <v>6</v>
      </c>
    </row>
    <row r="77" spans="1:11" x14ac:dyDescent="0.45">
      <c r="A77" s="16"/>
      <c r="B77" s="6" t="s">
        <v>376</v>
      </c>
      <c r="C77" s="3">
        <v>18</v>
      </c>
      <c r="D77" s="2"/>
      <c r="I77" s="16"/>
      <c r="J77" s="6" t="s">
        <v>467</v>
      </c>
      <c r="K77" s="3">
        <v>33</v>
      </c>
    </row>
    <row r="78" spans="1:11" x14ac:dyDescent="0.45">
      <c r="A78" s="16"/>
      <c r="B78" s="6" t="s">
        <v>377</v>
      </c>
      <c r="C78" s="3">
        <v>4</v>
      </c>
      <c r="D78" s="2"/>
      <c r="I78" s="16"/>
      <c r="J78" s="6" t="s">
        <v>469</v>
      </c>
      <c r="K78" s="3">
        <v>29</v>
      </c>
    </row>
    <row r="79" spans="1:11" x14ac:dyDescent="0.45">
      <c r="A79" s="4" t="s">
        <v>390</v>
      </c>
      <c r="B79" s="6" t="s">
        <v>338</v>
      </c>
      <c r="C79" s="3">
        <v>1042</v>
      </c>
      <c r="D79" s="2"/>
      <c r="I79" s="4" t="s">
        <v>385</v>
      </c>
      <c r="J79" s="6" t="s">
        <v>468</v>
      </c>
      <c r="K79" s="3">
        <v>6</v>
      </c>
    </row>
    <row r="80" spans="1:11" x14ac:dyDescent="0.45">
      <c r="A80" s="16" t="s">
        <v>389</v>
      </c>
      <c r="B80" s="6" t="s">
        <v>324</v>
      </c>
      <c r="C80" s="3">
        <v>596</v>
      </c>
      <c r="D80" s="2"/>
    </row>
    <row r="81" spans="1:4" x14ac:dyDescent="0.45">
      <c r="A81" s="16"/>
      <c r="B81" s="6" t="s">
        <v>378</v>
      </c>
      <c r="C81" s="3">
        <v>38</v>
      </c>
      <c r="D81" s="2"/>
    </row>
    <row r="82" spans="1:4" x14ac:dyDescent="0.45">
      <c r="A82" s="16" t="s">
        <v>388</v>
      </c>
      <c r="B82" s="6" t="s">
        <v>379</v>
      </c>
      <c r="C82" s="3">
        <v>7</v>
      </c>
      <c r="D82" s="2"/>
    </row>
    <row r="83" spans="1:4" x14ac:dyDescent="0.45">
      <c r="A83" s="16"/>
      <c r="B83" s="6" t="s">
        <v>380</v>
      </c>
      <c r="C83" s="3">
        <v>1450</v>
      </c>
      <c r="D83" s="2"/>
    </row>
    <row r="84" spans="1:4" x14ac:dyDescent="0.45">
      <c r="A84" s="16" t="s">
        <v>387</v>
      </c>
      <c r="B84" s="6" t="s">
        <v>381</v>
      </c>
      <c r="C84" s="3">
        <v>10</v>
      </c>
      <c r="D84" s="2"/>
    </row>
    <row r="85" spans="1:4" x14ac:dyDescent="0.45">
      <c r="A85" s="16"/>
      <c r="B85" s="6" t="s">
        <v>378</v>
      </c>
      <c r="C85" s="3">
        <v>24</v>
      </c>
      <c r="D85" s="2"/>
    </row>
    <row r="86" spans="1:4" x14ac:dyDescent="0.45">
      <c r="A86" s="4" t="s">
        <v>386</v>
      </c>
      <c r="B86" s="6" t="s">
        <v>382</v>
      </c>
      <c r="C86" s="3">
        <v>30</v>
      </c>
      <c r="D86" s="2"/>
    </row>
    <row r="87" spans="1:4" x14ac:dyDescent="0.45">
      <c r="A87" s="16" t="s">
        <v>385</v>
      </c>
      <c r="B87" s="6" t="s">
        <v>383</v>
      </c>
      <c r="C87" s="3">
        <v>10</v>
      </c>
      <c r="D87" s="2"/>
    </row>
    <row r="88" spans="1:4" x14ac:dyDescent="0.45">
      <c r="A88" s="16"/>
      <c r="B88" s="6" t="s">
        <v>384</v>
      </c>
      <c r="C88" s="3">
        <v>20</v>
      </c>
      <c r="D88" s="2" t="s">
        <v>476</v>
      </c>
    </row>
  </sheetData>
  <mergeCells count="39">
    <mergeCell ref="I2:K2"/>
    <mergeCell ref="I3:K3"/>
    <mergeCell ref="A38:A40"/>
    <mergeCell ref="A36:A37"/>
    <mergeCell ref="A34:A35"/>
    <mergeCell ref="A29:A30"/>
    <mergeCell ref="A26:A28"/>
    <mergeCell ref="A2:C2"/>
    <mergeCell ref="A3:C3"/>
    <mergeCell ref="I40:I41"/>
    <mergeCell ref="I36:I39"/>
    <mergeCell ref="I33:I35"/>
    <mergeCell ref="I29:I32"/>
    <mergeCell ref="I24:I25"/>
    <mergeCell ref="I21:I22"/>
    <mergeCell ref="I5:I20"/>
    <mergeCell ref="A47:A48"/>
    <mergeCell ref="A42:A44"/>
    <mergeCell ref="A87:A88"/>
    <mergeCell ref="A84:A85"/>
    <mergeCell ref="A82:A83"/>
    <mergeCell ref="A80:A81"/>
    <mergeCell ref="A74:A78"/>
    <mergeCell ref="A21:A25"/>
    <mergeCell ref="A5:A19"/>
    <mergeCell ref="I76:I78"/>
    <mergeCell ref="I68:I69"/>
    <mergeCell ref="I64:I67"/>
    <mergeCell ref="I59:I62"/>
    <mergeCell ref="I56:I57"/>
    <mergeCell ref="I54:I55"/>
    <mergeCell ref="I46:I53"/>
    <mergeCell ref="I43:I44"/>
    <mergeCell ref="A72:A73"/>
    <mergeCell ref="A67:A71"/>
    <mergeCell ref="A58:A64"/>
    <mergeCell ref="A56:A57"/>
    <mergeCell ref="A53:A55"/>
    <mergeCell ref="A49:A51"/>
  </mergeCells>
  <phoneticPr fontId="1"/>
  <hyperlinks>
    <hyperlink ref="A3" r:id="rId1" xr:uid="{EC024581-64C3-4564-9E56-C3C4829F32A2}"/>
    <hyperlink ref="I3" r:id="rId2" xr:uid="{7E5C7EBC-6DAB-4BF3-AC26-CC9BFF8B5451}"/>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B7862-5268-4861-82DC-7B570629241B}">
  <dimension ref="A1:AA16"/>
  <sheetViews>
    <sheetView zoomScale="85" zoomScaleNormal="85" workbookViewId="0"/>
  </sheetViews>
  <sheetFormatPr defaultRowHeight="18" x14ac:dyDescent="0.45"/>
  <cols>
    <col min="1" max="1" width="28.8984375" customWidth="1"/>
    <col min="2" max="2" width="10.8984375" bestFit="1" customWidth="1"/>
    <col min="3" max="3" width="36" bestFit="1" customWidth="1"/>
    <col min="27" max="27" width="8.8984375" customWidth="1"/>
  </cols>
  <sheetData>
    <row r="1" spans="1:27" x14ac:dyDescent="0.45">
      <c r="A1" s="4" t="s">
        <v>29</v>
      </c>
      <c r="B1" s="4" t="s">
        <v>69</v>
      </c>
      <c r="C1" s="4" t="s">
        <v>30</v>
      </c>
      <c r="D1" s="16" t="s">
        <v>31</v>
      </c>
      <c r="E1" s="16"/>
      <c r="F1" s="16"/>
      <c r="G1" s="16"/>
      <c r="H1" s="16"/>
      <c r="I1" s="16"/>
      <c r="J1" s="16"/>
      <c r="K1" s="16"/>
      <c r="L1" s="16"/>
      <c r="M1" s="16"/>
      <c r="N1" s="16"/>
      <c r="O1" s="16"/>
      <c r="P1" s="16" t="s">
        <v>75</v>
      </c>
      <c r="Q1" s="16"/>
      <c r="R1" s="16"/>
      <c r="S1" s="16"/>
      <c r="T1" s="16"/>
      <c r="U1" s="16"/>
      <c r="V1" s="16"/>
      <c r="W1" s="16"/>
      <c r="X1" s="16"/>
      <c r="Y1" s="16"/>
      <c r="Z1" s="16"/>
      <c r="AA1" s="16"/>
    </row>
    <row r="2" spans="1:27" ht="139.94999999999999" customHeight="1" x14ac:dyDescent="0.45">
      <c r="A2" s="6" t="s">
        <v>64</v>
      </c>
      <c r="B2" s="3">
        <v>1920</v>
      </c>
      <c r="C2" s="7" t="s">
        <v>65</v>
      </c>
      <c r="D2" s="24" t="s">
        <v>66</v>
      </c>
      <c r="E2" s="24"/>
      <c r="F2" s="24"/>
      <c r="G2" s="24"/>
      <c r="H2" s="24"/>
      <c r="I2" s="24"/>
      <c r="J2" s="24"/>
      <c r="K2" s="24"/>
      <c r="L2" s="24"/>
      <c r="M2" s="24"/>
      <c r="N2" s="24"/>
      <c r="O2" s="24"/>
      <c r="P2" s="24" t="s">
        <v>76</v>
      </c>
      <c r="Q2" s="24"/>
      <c r="R2" s="24"/>
      <c r="S2" s="24"/>
      <c r="T2" s="24"/>
      <c r="U2" s="24"/>
      <c r="V2" s="24"/>
      <c r="W2" s="24"/>
      <c r="X2" s="24"/>
      <c r="Y2" s="24"/>
      <c r="Z2" s="24"/>
      <c r="AA2" s="24"/>
    </row>
    <row r="3" spans="1:27" ht="139.94999999999999" customHeight="1" x14ac:dyDescent="0.45">
      <c r="A3" s="6" t="s">
        <v>67</v>
      </c>
      <c r="B3" s="3">
        <v>1922</v>
      </c>
      <c r="C3" s="7" t="s">
        <v>68</v>
      </c>
      <c r="D3" s="24" t="s">
        <v>149</v>
      </c>
      <c r="E3" s="24"/>
      <c r="F3" s="24"/>
      <c r="G3" s="24"/>
      <c r="H3" s="24"/>
      <c r="I3" s="24"/>
      <c r="J3" s="24"/>
      <c r="K3" s="24"/>
      <c r="L3" s="24"/>
      <c r="M3" s="24"/>
      <c r="N3" s="24"/>
      <c r="O3" s="24"/>
      <c r="P3" s="24"/>
      <c r="Q3" s="24"/>
      <c r="R3" s="24"/>
      <c r="S3" s="24"/>
      <c r="T3" s="24"/>
      <c r="U3" s="24"/>
      <c r="V3" s="24"/>
      <c r="W3" s="24"/>
      <c r="X3" s="24"/>
      <c r="Y3" s="24"/>
      <c r="Z3" s="24"/>
      <c r="AA3" s="24"/>
    </row>
    <row r="4" spans="1:27" ht="139.94999999999999" customHeight="1" x14ac:dyDescent="0.45">
      <c r="A4" s="6" t="s">
        <v>73</v>
      </c>
      <c r="B4" s="3">
        <v>1922</v>
      </c>
      <c r="C4" s="7" t="s">
        <v>74</v>
      </c>
      <c r="D4" s="24" t="s">
        <v>194</v>
      </c>
      <c r="E4" s="24"/>
      <c r="F4" s="24"/>
      <c r="G4" s="24"/>
      <c r="H4" s="24"/>
      <c r="I4" s="24"/>
      <c r="J4" s="24"/>
      <c r="K4" s="24"/>
      <c r="L4" s="24"/>
      <c r="M4" s="24"/>
      <c r="N4" s="24"/>
      <c r="O4" s="24"/>
      <c r="P4" s="24"/>
      <c r="Q4" s="24"/>
      <c r="R4" s="24"/>
      <c r="S4" s="24"/>
      <c r="T4" s="24"/>
      <c r="U4" s="24"/>
      <c r="V4" s="24"/>
      <c r="W4" s="24"/>
      <c r="X4" s="24"/>
      <c r="Y4" s="24"/>
      <c r="Z4" s="24"/>
      <c r="AA4" s="24"/>
    </row>
    <row r="5" spans="1:27" ht="139.94999999999999" customHeight="1" x14ac:dyDescent="0.45">
      <c r="A5" s="6" t="s">
        <v>71</v>
      </c>
      <c r="B5" s="3">
        <v>1922</v>
      </c>
      <c r="C5" s="7" t="s">
        <v>72</v>
      </c>
      <c r="D5" s="24" t="s">
        <v>150</v>
      </c>
      <c r="E5" s="24"/>
      <c r="F5" s="24"/>
      <c r="G5" s="24"/>
      <c r="H5" s="24"/>
      <c r="I5" s="24"/>
      <c r="J5" s="24"/>
      <c r="K5" s="24"/>
      <c r="L5" s="24"/>
      <c r="M5" s="24"/>
      <c r="N5" s="24"/>
      <c r="O5" s="24"/>
      <c r="P5" s="24"/>
      <c r="Q5" s="24"/>
      <c r="R5" s="24"/>
      <c r="S5" s="24"/>
      <c r="T5" s="24"/>
      <c r="U5" s="24"/>
      <c r="V5" s="24"/>
      <c r="W5" s="24"/>
      <c r="X5" s="24"/>
      <c r="Y5" s="24"/>
      <c r="Z5" s="24"/>
      <c r="AA5" s="24"/>
    </row>
    <row r="6" spans="1:27" ht="139.94999999999999" customHeight="1" x14ac:dyDescent="0.45">
      <c r="A6" s="3" t="s">
        <v>77</v>
      </c>
      <c r="B6" s="3" t="s">
        <v>138</v>
      </c>
      <c r="C6" s="7" t="s">
        <v>139</v>
      </c>
      <c r="D6" s="24" t="s">
        <v>187</v>
      </c>
      <c r="E6" s="24"/>
      <c r="F6" s="24"/>
      <c r="G6" s="24"/>
      <c r="H6" s="24"/>
      <c r="I6" s="24"/>
      <c r="J6" s="24"/>
      <c r="K6" s="24"/>
      <c r="L6" s="24"/>
      <c r="M6" s="24"/>
      <c r="N6" s="24"/>
      <c r="O6" s="24"/>
      <c r="P6" s="24"/>
      <c r="Q6" s="24"/>
      <c r="R6" s="24"/>
      <c r="S6" s="24"/>
      <c r="T6" s="24"/>
      <c r="U6" s="24"/>
      <c r="V6" s="24"/>
      <c r="W6" s="24"/>
      <c r="X6" s="24"/>
      <c r="Y6" s="24"/>
      <c r="Z6" s="24"/>
      <c r="AA6" s="24"/>
    </row>
    <row r="7" spans="1:27" ht="139.94999999999999" customHeight="1" x14ac:dyDescent="0.45">
      <c r="A7" s="8" t="s">
        <v>78</v>
      </c>
      <c r="B7" s="3">
        <v>1920</v>
      </c>
      <c r="C7" s="5" t="s">
        <v>140</v>
      </c>
      <c r="D7" s="24" t="s">
        <v>188</v>
      </c>
      <c r="E7" s="24"/>
      <c r="F7" s="24"/>
      <c r="G7" s="24"/>
      <c r="H7" s="24"/>
      <c r="I7" s="24"/>
      <c r="J7" s="24"/>
      <c r="K7" s="24"/>
      <c r="L7" s="24"/>
      <c r="M7" s="24"/>
      <c r="N7" s="24"/>
      <c r="O7" s="24"/>
      <c r="P7" s="24"/>
      <c r="Q7" s="24"/>
      <c r="R7" s="24"/>
      <c r="S7" s="24"/>
      <c r="T7" s="24"/>
      <c r="U7" s="24"/>
      <c r="V7" s="24"/>
      <c r="W7" s="24"/>
      <c r="X7" s="24"/>
      <c r="Y7" s="24"/>
      <c r="Z7" s="24"/>
      <c r="AA7" s="24"/>
    </row>
    <row r="8" spans="1:27" ht="139.94999999999999" customHeight="1" x14ac:dyDescent="0.45">
      <c r="A8" s="9" t="s">
        <v>238</v>
      </c>
      <c r="B8" s="3">
        <v>1921</v>
      </c>
      <c r="C8" s="5" t="s">
        <v>141</v>
      </c>
      <c r="D8" s="24" t="s">
        <v>237</v>
      </c>
      <c r="E8" s="24"/>
      <c r="F8" s="24"/>
      <c r="G8" s="24"/>
      <c r="H8" s="24"/>
      <c r="I8" s="24"/>
      <c r="J8" s="24"/>
      <c r="K8" s="24"/>
      <c r="L8" s="24"/>
      <c r="M8" s="24"/>
      <c r="N8" s="24"/>
      <c r="O8" s="24"/>
      <c r="P8" s="24"/>
      <c r="Q8" s="24"/>
      <c r="R8" s="24"/>
      <c r="S8" s="24"/>
      <c r="T8" s="24"/>
      <c r="U8" s="24"/>
      <c r="V8" s="24"/>
      <c r="W8" s="24"/>
      <c r="X8" s="24"/>
      <c r="Y8" s="24"/>
      <c r="Z8" s="24"/>
      <c r="AA8" s="24"/>
    </row>
    <row r="9" spans="1:27" ht="139.94999999999999" customHeight="1" x14ac:dyDescent="0.45">
      <c r="A9" s="6" t="s">
        <v>239</v>
      </c>
      <c r="B9" s="3">
        <v>1923</v>
      </c>
      <c r="C9" s="5" t="s">
        <v>142</v>
      </c>
      <c r="D9" s="24" t="s">
        <v>193</v>
      </c>
      <c r="E9" s="24"/>
      <c r="F9" s="24"/>
      <c r="G9" s="24"/>
      <c r="H9" s="24"/>
      <c r="I9" s="24"/>
      <c r="J9" s="24"/>
      <c r="K9" s="24"/>
      <c r="L9" s="24"/>
      <c r="M9" s="24"/>
      <c r="N9" s="24"/>
      <c r="O9" s="24"/>
      <c r="P9" s="24"/>
      <c r="Q9" s="24"/>
      <c r="R9" s="24"/>
      <c r="S9" s="24"/>
      <c r="T9" s="24"/>
      <c r="U9" s="24"/>
      <c r="V9" s="24"/>
      <c r="W9" s="24"/>
      <c r="X9" s="24"/>
      <c r="Y9" s="24"/>
      <c r="Z9" s="24"/>
      <c r="AA9" s="24"/>
    </row>
    <row r="10" spans="1:27" ht="139.94999999999999" customHeight="1" x14ac:dyDescent="0.45">
      <c r="A10" s="6" t="s">
        <v>80</v>
      </c>
      <c r="B10" s="3">
        <v>1925</v>
      </c>
      <c r="C10" s="7" t="s">
        <v>143</v>
      </c>
      <c r="D10" s="24" t="s">
        <v>188</v>
      </c>
      <c r="E10" s="24"/>
      <c r="F10" s="24"/>
      <c r="G10" s="24"/>
      <c r="H10" s="24"/>
      <c r="I10" s="24"/>
      <c r="J10" s="24"/>
      <c r="K10" s="24"/>
      <c r="L10" s="24"/>
      <c r="M10" s="24"/>
      <c r="N10" s="24"/>
      <c r="O10" s="24"/>
      <c r="P10" s="24"/>
      <c r="Q10" s="24"/>
      <c r="R10" s="24"/>
      <c r="S10" s="24"/>
      <c r="T10" s="24"/>
      <c r="U10" s="24"/>
      <c r="V10" s="24"/>
      <c r="W10" s="24"/>
      <c r="X10" s="24"/>
      <c r="Y10" s="24"/>
      <c r="Z10" s="24"/>
      <c r="AA10" s="24"/>
    </row>
    <row r="11" spans="1:27" ht="139.94999999999999" customHeight="1" x14ac:dyDescent="0.45">
      <c r="A11" s="6" t="s">
        <v>81</v>
      </c>
      <c r="B11" s="3">
        <v>1929</v>
      </c>
      <c r="C11" s="5" t="s">
        <v>144</v>
      </c>
      <c r="D11" s="24" t="s">
        <v>189</v>
      </c>
      <c r="E11" s="24"/>
      <c r="F11" s="24"/>
      <c r="G11" s="24"/>
      <c r="H11" s="24"/>
      <c r="I11" s="24"/>
      <c r="J11" s="24"/>
      <c r="K11" s="24"/>
      <c r="L11" s="24"/>
      <c r="M11" s="24"/>
      <c r="N11" s="24"/>
      <c r="O11" s="24"/>
      <c r="P11" s="24"/>
      <c r="Q11" s="24"/>
      <c r="R11" s="24"/>
      <c r="S11" s="24"/>
      <c r="T11" s="24"/>
      <c r="U11" s="24"/>
      <c r="V11" s="24"/>
      <c r="W11" s="24"/>
      <c r="X11" s="24"/>
      <c r="Y11" s="24"/>
      <c r="Z11" s="24"/>
      <c r="AA11" s="24"/>
    </row>
    <row r="12" spans="1:27" ht="139.94999999999999" customHeight="1" x14ac:dyDescent="0.45">
      <c r="A12" s="6" t="s">
        <v>82</v>
      </c>
      <c r="B12" s="3">
        <v>1932</v>
      </c>
      <c r="C12" s="7" t="s">
        <v>145</v>
      </c>
      <c r="D12" s="24" t="s">
        <v>188</v>
      </c>
      <c r="E12" s="24"/>
      <c r="F12" s="24"/>
      <c r="G12" s="24"/>
      <c r="H12" s="24"/>
      <c r="I12" s="24"/>
      <c r="J12" s="24"/>
      <c r="K12" s="24"/>
      <c r="L12" s="24"/>
      <c r="M12" s="24"/>
      <c r="N12" s="24"/>
      <c r="O12" s="24"/>
      <c r="P12" s="24"/>
      <c r="Q12" s="24"/>
      <c r="R12" s="24"/>
      <c r="S12" s="24"/>
      <c r="T12" s="24"/>
      <c r="U12" s="24"/>
      <c r="V12" s="24"/>
      <c r="W12" s="24"/>
      <c r="X12" s="24"/>
      <c r="Y12" s="24"/>
      <c r="Z12" s="24"/>
      <c r="AA12" s="24"/>
    </row>
    <row r="13" spans="1:27" ht="139.94999999999999" customHeight="1" x14ac:dyDescent="0.45">
      <c r="A13" s="6" t="s">
        <v>79</v>
      </c>
      <c r="B13" s="3">
        <v>1920</v>
      </c>
      <c r="C13" s="5" t="s">
        <v>146</v>
      </c>
      <c r="D13" s="24" t="s">
        <v>190</v>
      </c>
      <c r="E13" s="24"/>
      <c r="F13" s="24"/>
      <c r="G13" s="24"/>
      <c r="H13" s="24"/>
      <c r="I13" s="24"/>
      <c r="J13" s="24"/>
      <c r="K13" s="24"/>
      <c r="L13" s="24"/>
      <c r="M13" s="24"/>
      <c r="N13" s="24"/>
      <c r="O13" s="24"/>
      <c r="P13" s="24"/>
      <c r="Q13" s="24"/>
      <c r="R13" s="24"/>
      <c r="S13" s="24"/>
      <c r="T13" s="24"/>
      <c r="U13" s="24"/>
      <c r="V13" s="24"/>
      <c r="W13" s="24"/>
      <c r="X13" s="24"/>
      <c r="Y13" s="24"/>
      <c r="Z13" s="24"/>
      <c r="AA13" s="24"/>
    </row>
    <row r="14" spans="1:27" ht="139.94999999999999" customHeight="1" x14ac:dyDescent="0.45">
      <c r="A14" s="6" t="s">
        <v>240</v>
      </c>
      <c r="B14" s="3">
        <v>1921</v>
      </c>
      <c r="C14" s="5" t="s">
        <v>147</v>
      </c>
      <c r="D14" s="24" t="s">
        <v>191</v>
      </c>
      <c r="E14" s="24"/>
      <c r="F14" s="24"/>
      <c r="G14" s="24"/>
      <c r="H14" s="24"/>
      <c r="I14" s="24"/>
      <c r="J14" s="24"/>
      <c r="K14" s="24"/>
      <c r="L14" s="24"/>
      <c r="M14" s="24"/>
      <c r="N14" s="24"/>
      <c r="O14" s="24"/>
      <c r="P14" s="24"/>
      <c r="Q14" s="24"/>
      <c r="R14" s="24"/>
      <c r="S14" s="24"/>
      <c r="T14" s="24"/>
      <c r="U14" s="24"/>
      <c r="V14" s="24"/>
      <c r="W14" s="24"/>
      <c r="X14" s="24"/>
      <c r="Y14" s="24"/>
      <c r="Z14" s="24"/>
      <c r="AA14" s="24"/>
    </row>
    <row r="15" spans="1:27" ht="139.94999999999999" customHeight="1" x14ac:dyDescent="0.45">
      <c r="A15" s="6" t="s">
        <v>241</v>
      </c>
      <c r="B15" s="3">
        <v>1921</v>
      </c>
      <c r="C15" s="7" t="s">
        <v>148</v>
      </c>
      <c r="D15" s="24" t="s">
        <v>192</v>
      </c>
      <c r="E15" s="24"/>
      <c r="F15" s="24"/>
      <c r="G15" s="24"/>
      <c r="H15" s="24"/>
      <c r="I15" s="24"/>
      <c r="J15" s="24"/>
      <c r="K15" s="24"/>
      <c r="L15" s="24"/>
      <c r="M15" s="24"/>
      <c r="N15" s="24"/>
      <c r="O15" s="24"/>
      <c r="P15" s="24"/>
      <c r="Q15" s="24"/>
      <c r="R15" s="24"/>
      <c r="S15" s="24"/>
      <c r="T15" s="24"/>
      <c r="U15" s="24"/>
      <c r="V15" s="24"/>
      <c r="W15" s="24"/>
      <c r="X15" s="24"/>
      <c r="Y15" s="24"/>
      <c r="Z15" s="24"/>
      <c r="AA15" s="24"/>
    </row>
    <row r="16" spans="1:27" x14ac:dyDescent="0.45">
      <c r="A16" t="s">
        <v>70</v>
      </c>
    </row>
  </sheetData>
  <mergeCells count="30">
    <mergeCell ref="D8:O8"/>
    <mergeCell ref="D9:O9"/>
    <mergeCell ref="D10:O10"/>
    <mergeCell ref="P15:AA15"/>
    <mergeCell ref="P9:AA9"/>
    <mergeCell ref="P10:AA10"/>
    <mergeCell ref="P11:AA11"/>
    <mergeCell ref="D11:O11"/>
    <mergeCell ref="D12:O12"/>
    <mergeCell ref="P12:AA12"/>
    <mergeCell ref="P13:AA13"/>
    <mergeCell ref="P14:AA14"/>
    <mergeCell ref="D15:O15"/>
    <mergeCell ref="D13:O13"/>
    <mergeCell ref="D14:O14"/>
    <mergeCell ref="D1:O1"/>
    <mergeCell ref="D2:O2"/>
    <mergeCell ref="D3:O3"/>
    <mergeCell ref="D6:O6"/>
    <mergeCell ref="D7:O7"/>
    <mergeCell ref="D4:O4"/>
    <mergeCell ref="D5:O5"/>
    <mergeCell ref="P7:AA7"/>
    <mergeCell ref="P8:AA8"/>
    <mergeCell ref="P1:AA1"/>
    <mergeCell ref="P2:AA2"/>
    <mergeCell ref="P3:AA3"/>
    <mergeCell ref="P4:AA4"/>
    <mergeCell ref="P5:AA5"/>
    <mergeCell ref="P6:AA6"/>
  </mergeCells>
  <phoneticPr fontId="1"/>
  <hyperlinks>
    <hyperlink ref="C2" r:id="rId1" xr:uid="{575F24DC-129E-4526-8459-9FCDE21CE8D3}"/>
    <hyperlink ref="C3" r:id="rId2" xr:uid="{0AAA2EE0-2EA5-4AC4-B1C4-5F90E16C7536}"/>
    <hyperlink ref="C5" r:id="rId3" xr:uid="{8AA3F291-AAA8-420F-8FAB-2B85F67856D7}"/>
    <hyperlink ref="C4" r:id="rId4" xr:uid="{48F1500D-349D-4AC3-974F-CDFC943D8059}"/>
    <hyperlink ref="C6" r:id="rId5" display="https://dl.ndl.go.jp/pid/1351801/1/566" xr:uid="{AF6CCB8C-ED7C-49EF-82D4-1887EE01B88C}"/>
    <hyperlink ref="C7" r:id="rId6" xr:uid="{91B65CDB-6999-4E31-9684-BD523BBCF836}"/>
    <hyperlink ref="C8" r:id="rId7" xr:uid="{D4EBAE86-1412-4AEA-B8D1-C8CCF7D841A7}"/>
    <hyperlink ref="C9" r:id="rId8" xr:uid="{C34D687F-AC5C-4582-AAE5-C8C55A739B48}"/>
    <hyperlink ref="C10" r:id="rId9" display="https://dl.ndl.go.jp/pid/1351250/1/72" xr:uid="{65C3E540-F90E-4AAE-9795-4D2CC916D099}"/>
    <hyperlink ref="C11" r:id="rId10" xr:uid="{E0BAC8DD-FA1B-4DF2-8BC7-DD206B3D0488}"/>
    <hyperlink ref="C12" r:id="rId11" display="https://dl.ndl.go.jp/pid/1269151/1/337" xr:uid="{C79E7DCF-8868-43B0-86A2-930C463146B3}"/>
    <hyperlink ref="C13" r:id="rId12" xr:uid="{0B2AE586-514E-481B-846B-CE93CD67FBDD}"/>
    <hyperlink ref="C14" r:id="rId13" xr:uid="{E26A9487-7D2B-48EF-A7C9-074CAB522194}"/>
    <hyperlink ref="C15" r:id="rId14" display="https://dl.ndl.go.jp/pid/2954705/1/10" xr:uid="{0315CA4B-943B-45CE-9FEF-D02883827249}"/>
  </hyperlinks>
  <pageMargins left="0.7" right="0.7" top="0.75" bottom="0.75" header="0.3" footer="0.3"/>
  <pageSetup paperSize="9" orientation="landscape" horizontalDpi="300" verticalDpi="300" r:id="rId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グラフ</vt:lpstr>
      </vt:variant>
      <vt:variant>
        <vt:i4>2</vt:i4>
      </vt:variant>
    </vt:vector>
  </HeadingPairs>
  <TitlesOfParts>
    <vt:vector size="7" baseType="lpstr">
      <vt:lpstr>地域別人口</vt:lpstr>
      <vt:lpstr>地域別人口出典</vt:lpstr>
      <vt:lpstr>佐渡 車両数</vt:lpstr>
      <vt:lpstr>鉄道敷設 署名者数</vt:lpstr>
      <vt:lpstr>議事録・官報</vt:lpstr>
      <vt:lpstr>グラフ(地域別人口の推移)</vt:lpstr>
      <vt:lpstr>グラフ(佐渡車両数の推移)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康佑 岸本</dc:creator>
  <cp:lastModifiedBy>康佑 岸本</cp:lastModifiedBy>
  <cp:lastPrinted>2025-10-27T08:54:06Z</cp:lastPrinted>
  <dcterms:created xsi:type="dcterms:W3CDTF">2025-09-05T11:53:32Z</dcterms:created>
  <dcterms:modified xsi:type="dcterms:W3CDTF">2026-01-02T12:18:13Z</dcterms:modified>
</cp:coreProperties>
</file>