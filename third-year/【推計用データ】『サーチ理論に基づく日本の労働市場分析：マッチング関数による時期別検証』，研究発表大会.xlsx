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71d766d9ae723a/ドキュメント/東洋大学3年次/"/>
    </mc:Choice>
  </mc:AlternateContent>
  <xr:revisionPtr revIDLastSave="355" documentId="8_{B7A5D2E8-C192-4316-940E-DF9CCFE75292}" xr6:coauthVersionLast="47" xr6:coauthVersionMax="47" xr10:uidLastSave="{A308B375-9EEF-4E05-8228-3F60BAE3D9B4}"/>
  <bookViews>
    <workbookView xWindow="-108" yWindow="-108" windowWidth="23256" windowHeight="12456" xr2:uid="{6279885E-AD30-4C83-898A-0BBED8A6A7A9}"/>
  </bookViews>
  <sheets>
    <sheet name="推計用データ" sheetId="1" r:id="rId1"/>
    <sheet name="基本統計量" sheetId="4" r:id="rId2"/>
    <sheet name="UV曲線データ" sheetId="2" r:id="rId3"/>
    <sheet name="UV曲線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2" i="1"/>
</calcChain>
</file>

<file path=xl/sharedStrings.xml><?xml version="1.0" encoding="utf-8"?>
<sst xmlns="http://schemas.openxmlformats.org/spreadsheetml/2006/main" count="81" uniqueCount="55">
  <si>
    <t>就職件数(件)</t>
    <rPh sb="0" eb="2">
      <t>シュウショク</t>
    </rPh>
    <rPh sb="2" eb="4">
      <t>ケンスウ</t>
    </rPh>
    <rPh sb="5" eb="6">
      <t>ケン</t>
    </rPh>
    <phoneticPr fontId="1"/>
  </si>
  <si>
    <t>完全失業者(万人)</t>
    <rPh sb="6" eb="8">
      <t>マンニン</t>
    </rPh>
    <phoneticPr fontId="1"/>
  </si>
  <si>
    <t>トレンド変数</t>
  </si>
  <si>
    <t>新規求人数(人)</t>
    <rPh sb="0" eb="2">
      <t>シンキ</t>
    </rPh>
    <rPh sb="2" eb="5">
      <t>キュウジンスウ</t>
    </rPh>
    <rPh sb="6" eb="7">
      <t>ニン</t>
    </rPh>
    <phoneticPr fontId="1"/>
  </si>
  <si>
    <t>就職件数(万件)</t>
    <rPh sb="0" eb="2">
      <t>シュウショク</t>
    </rPh>
    <rPh sb="2" eb="4">
      <t>ケンスウ</t>
    </rPh>
    <rPh sb="5" eb="6">
      <t>マン</t>
    </rPh>
    <rPh sb="6" eb="7">
      <t>ケン</t>
    </rPh>
    <phoneticPr fontId="1"/>
  </si>
  <si>
    <t>新規求人数(万人)</t>
    <phoneticPr fontId="1"/>
  </si>
  <si>
    <t>ダミー変数(安定成長期)</t>
    <rPh sb="6" eb="8">
      <t>アンテイ</t>
    </rPh>
    <rPh sb="8" eb="11">
      <t>セイチョウキ</t>
    </rPh>
    <phoneticPr fontId="1"/>
  </si>
  <si>
    <t>ダミー変数(バブル期)</t>
    <rPh sb="9" eb="10">
      <t>キ</t>
    </rPh>
    <phoneticPr fontId="1"/>
  </si>
  <si>
    <t>ダミー変数(バブル崩壊以後)</t>
    <rPh sb="11" eb="13">
      <t>イゴ</t>
    </rPh>
    <phoneticPr fontId="1"/>
  </si>
  <si>
    <t>ダミー変数(リーマン・ショック期)</t>
    <rPh sb="15" eb="16">
      <t>キ</t>
    </rPh>
    <phoneticPr fontId="1"/>
  </si>
  <si>
    <t>ダミー変数(コロナショック期)</t>
    <rPh sb="13" eb="14">
      <t>キ</t>
    </rPh>
    <phoneticPr fontId="1"/>
  </si>
  <si>
    <t>完全失業率(%)</t>
    <rPh sb="0" eb="2">
      <t>カンゼン</t>
    </rPh>
    <rPh sb="2" eb="5">
      <t>シツギョウリツ</t>
    </rPh>
    <phoneticPr fontId="1"/>
  </si>
  <si>
    <t>新規求人倍率(パートタイムを含む一般)(倍)</t>
    <rPh sb="20" eb="21">
      <t>バイ</t>
    </rPh>
    <phoneticPr fontId="1"/>
  </si>
  <si>
    <t>00</t>
    <phoneticPr fontId="1"/>
  </si>
  <si>
    <t>01</t>
    <phoneticPr fontId="1"/>
  </si>
  <si>
    <t>02</t>
    <phoneticPr fontId="1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</si>
  <si>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</si>
  <si>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</si>
  <si>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</si>
  <si>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</si>
  <si>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</si>
  <si>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</si>
  <si>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</si>
  <si>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</si>
  <si>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</si>
  <si>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</si>
  <si>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</si>
  <si>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</si>
  <si>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</si>
  <si>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</si>
  <si>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</si>
  <si>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</si>
  <si>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</si>
  <si>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</si>
  <si>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</si>
  <si>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</si>
  <si>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</si>
  <si>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</si>
  <si>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ダミー変数(小泉)</t>
    <rPh sb="6" eb="8">
      <t>コイズミ</t>
    </rPh>
    <phoneticPr fontId="1"/>
  </si>
  <si>
    <t>平均</t>
  </si>
  <si>
    <t>標準誤差</t>
  </si>
  <si>
    <t>中央値 （メジアン）</t>
  </si>
  <si>
    <t>最頻値 （モード）</t>
  </si>
  <si>
    <t>標準偏差</t>
  </si>
  <si>
    <t>分散</t>
  </si>
  <si>
    <t>尖度</t>
  </si>
  <si>
    <t>歪度</t>
  </si>
  <si>
    <t>範囲</t>
  </si>
  <si>
    <t>最小</t>
  </si>
  <si>
    <t>最大</t>
  </si>
  <si>
    <t>合計</t>
  </si>
  <si>
    <t>データの個数</t>
  </si>
  <si>
    <t>完全失業者(万人)</t>
  </si>
  <si>
    <t>就職件数(万件)</t>
  </si>
  <si>
    <t>新規求人数(万人)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</si>
</sst>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0"/>
      <name val="游ゴシック"/>
      <family val="3"/>
      <charset val="128"/>
      <scheme val="minor"/>
    </font>
    <font>
      <b/>
      <sz val="18"/>
      <color theme="3"/>
      <name val="游ゴシック Light"/>
      <family val="3"/>
      <charset val="128"/>
      <scheme val="major"/>
    </font>
    <font>
      <b/>
      <sz val="9"/>
      <color theme="0"/>
      <name val="游ゴシック"/>
      <family val="3"/>
      <charset val="128"/>
      <scheme val="minor"/>
    </font>
    <font>
      <sz val="9"/>
      <color rgb="FF9C6500"/>
      <name val="游ゴシック"/>
      <family val="3"/>
      <charset val="128"/>
      <scheme val="minor"/>
    </font>
    <font>
      <sz val="9"/>
      <color rgb="FFFA7D00"/>
      <name val="游ゴシック"/>
      <family val="3"/>
      <charset val="128"/>
      <scheme val="minor"/>
    </font>
    <font>
      <sz val="9"/>
      <color rgb="FF9C0006"/>
      <name val="游ゴシック"/>
      <family val="3"/>
      <charset val="128"/>
      <scheme val="minor"/>
    </font>
    <font>
      <b/>
      <sz val="9"/>
      <color rgb="FFFA7D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9"/>
      <color rgb="FF3F3F3F"/>
      <name val="游ゴシック"/>
      <family val="3"/>
      <charset val="128"/>
      <scheme val="minor"/>
    </font>
    <font>
      <i/>
      <sz val="9"/>
      <color rgb="FF7F7F7F"/>
      <name val="游ゴシック"/>
      <family val="3"/>
      <charset val="128"/>
      <scheme val="minor"/>
    </font>
    <font>
      <sz val="9"/>
      <color rgb="FF3F3F76"/>
      <name val="游ゴシック"/>
      <family val="3"/>
      <charset val="128"/>
      <scheme val="minor"/>
    </font>
    <font>
      <sz val="9"/>
      <color rgb="FF0061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07">
    <xf numFmtId="0" fontId="0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7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5" fillId="8" borderId="8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14" fillId="0" borderId="1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3" fillId="0" borderId="0"/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/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21" fillId="2" borderId="0" applyNumberFormat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4" fillId="0" borderId="0"/>
  </cellStyleXfs>
  <cellXfs count="6">
    <xf numFmtId="0" fontId="0" fillId="0" borderId="0" xfId="0">
      <alignment vertical="center"/>
    </xf>
    <xf numFmtId="1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ont="1" applyFill="1" applyBorder="1" applyAlignment="1">
      <alignment horizontal="centerContinuous" vertical="center"/>
    </xf>
  </cellXfs>
  <cellStyles count="107">
    <cellStyle name="20% - アクセント 1 2" xfId="2" xr:uid="{07575F5A-1D9B-492D-8476-77BA23B48CCB}"/>
    <cellStyle name="20% - アクセント 2 2" xfId="3" xr:uid="{0DCBC1DB-5247-4982-8BE6-925FB2FC81CA}"/>
    <cellStyle name="20% - アクセント 3 2" xfId="4" xr:uid="{D174F2F4-85B2-49D7-A2DC-6BEC414FAF69}"/>
    <cellStyle name="20% - アクセント 4 2" xfId="5" xr:uid="{F0BB64A6-8BAB-4DA8-9BCC-EF45414F6051}"/>
    <cellStyle name="20% - アクセント 5 2" xfId="6" xr:uid="{843020B4-C5D9-4605-AF72-47FFAEDE46E4}"/>
    <cellStyle name="20% - アクセント 6 2" xfId="7" xr:uid="{6CB22C69-FCC0-4834-9812-6BEF6AD0C995}"/>
    <cellStyle name="40% - アクセント 1 2" xfId="8" xr:uid="{CB4CE490-F01D-4CCC-87F7-A9DA99E6A546}"/>
    <cellStyle name="40% - アクセント 2 2" xfId="9" xr:uid="{E4C42ACA-2262-49F1-A385-87A57CCA882F}"/>
    <cellStyle name="40% - アクセント 3 2" xfId="10" xr:uid="{23B90596-0FE9-4303-A938-8D411CF4BF91}"/>
    <cellStyle name="40% - アクセント 4 2" xfId="11" xr:uid="{9F0E2E0B-D579-4679-B667-AB6E50AE79A4}"/>
    <cellStyle name="40% - アクセント 5 2" xfId="12" xr:uid="{09E254C4-03CA-44AA-8D92-3FEB2E5C0BD5}"/>
    <cellStyle name="40% - アクセント 6 2" xfId="13" xr:uid="{F1B7FE4F-C14B-44BC-A1D9-DCFBA3876BAE}"/>
    <cellStyle name="60% - アクセント 1 2" xfId="14" xr:uid="{90A29FCF-8893-410F-A8B6-76BAA558D6CF}"/>
    <cellStyle name="60% - アクセント 2 2" xfId="15" xr:uid="{3E976656-863C-43A8-8879-5501E45DEDE8}"/>
    <cellStyle name="60% - アクセント 3 2" xfId="16" xr:uid="{CDF19D15-2229-4CC4-8892-0E8863863498}"/>
    <cellStyle name="60% - アクセント 4 2" xfId="17" xr:uid="{A41B4D5C-56ED-40C3-9115-E29DBDB1CBAF}"/>
    <cellStyle name="60% - アクセント 5 2" xfId="18" xr:uid="{7DE8D75C-496E-4E8C-821A-FAA94A14466A}"/>
    <cellStyle name="60% - アクセント 6 2" xfId="19" xr:uid="{B8F624F0-4690-419D-82C8-189617184BC5}"/>
    <cellStyle name="アクセント 1 2" xfId="20" xr:uid="{3BF45AA2-BFD4-4031-9A6F-47326469D840}"/>
    <cellStyle name="アクセント 2 2" xfId="21" xr:uid="{6854FDED-D136-4CB4-95AB-4FF7397A55AD}"/>
    <cellStyle name="アクセント 3 2" xfId="22" xr:uid="{6B2EC8A5-ECE9-4087-886D-33FF541F1FAC}"/>
    <cellStyle name="アクセント 4 2" xfId="23" xr:uid="{2CFA514E-5C4A-4C8A-A02D-0F1B85B8B240}"/>
    <cellStyle name="アクセント 5 2" xfId="24" xr:uid="{D66B764F-C55C-45FA-9AC9-7DE7B7C3A5D6}"/>
    <cellStyle name="アクセント 6 2" xfId="25" xr:uid="{AF6FFD14-11C2-4F6F-BBF1-C5F298C6270A}"/>
    <cellStyle name="タイトル 2" xfId="26" xr:uid="{9AACFD5D-A75B-4BAA-B241-BC56EBDC28BC}"/>
    <cellStyle name="チェック セル 2" xfId="27" xr:uid="{1F0F2231-63A7-43A4-86EC-E329A6914E68}"/>
    <cellStyle name="どちらでもない 2" xfId="28" xr:uid="{DC6963EC-0F48-4A8A-B03A-5E784BBD934A}"/>
    <cellStyle name="メモ 2" xfId="29" xr:uid="{A96A63D1-C508-412E-9C4D-BA7D2ADA2D8B}"/>
    <cellStyle name="リンク セル 2" xfId="30" xr:uid="{9C749A7F-F98F-429A-9635-0B062FAE506A}"/>
    <cellStyle name="悪い 2" xfId="31" xr:uid="{085B2A83-EC0D-4C13-A38E-302D97EBFAC1}"/>
    <cellStyle name="計算 2" xfId="32" xr:uid="{F42C0E6C-5067-4F19-901C-E8A17906F8F2}"/>
    <cellStyle name="警告文 2" xfId="33" xr:uid="{56A1F9DB-F80B-4E3E-9F1D-CD123C0E7F1F}"/>
    <cellStyle name="桁区切り 10" xfId="35" xr:uid="{CB55A523-8EEB-4D80-831F-D2DD0DE1E397}"/>
    <cellStyle name="桁区切り 11" xfId="36" xr:uid="{ED0BDA2B-08A6-423E-A61A-C09512C43DA3}"/>
    <cellStyle name="桁区切り 12" xfId="34" xr:uid="{91E4621B-7CDB-45FC-86CF-2B271F8D6BE6}"/>
    <cellStyle name="桁区切り 2" xfId="37" xr:uid="{FB253C7D-4A23-409C-B2E7-DB8DC0B7B7C9}"/>
    <cellStyle name="桁区切り 2 2" xfId="38" xr:uid="{EF48CBE5-6BE3-4F83-99B8-9F938BD5ABA3}"/>
    <cellStyle name="桁区切り 2 3" xfId="39" xr:uid="{5CA71420-6CC6-4FCA-86D6-6BBE9B58A7F6}"/>
    <cellStyle name="桁区切り 2 3 2" xfId="103" xr:uid="{24FBDA5A-03BD-4B62-8862-A5C867980C12}"/>
    <cellStyle name="桁区切り 2 4" xfId="40" xr:uid="{254C6511-FD98-4995-AC99-0739519B251F}"/>
    <cellStyle name="桁区切り 3" xfId="41" xr:uid="{C6A8F1A0-D26F-4C4A-A504-3B11A93D219D}"/>
    <cellStyle name="桁区切り 3 2" xfId="42" xr:uid="{1F4E8675-68CF-4F37-A7FD-DFF16C26D4BD}"/>
    <cellStyle name="桁区切り 4" xfId="43" xr:uid="{B14F5B1A-C32A-464C-A1DB-1F62DACEC4EE}"/>
    <cellStyle name="桁区切り 4 2" xfId="44" xr:uid="{DE4EF907-7733-40A5-B02A-1C684E86F91D}"/>
    <cellStyle name="桁区切り 5" xfId="45" xr:uid="{BD84F436-45E1-452D-8719-1CAE7D44679F}"/>
    <cellStyle name="桁区切り 5 2" xfId="46" xr:uid="{B0436434-D6BF-451C-A792-8528BC49455E}"/>
    <cellStyle name="桁区切り 6" xfId="47" xr:uid="{BB97714B-0C42-465A-A9D2-4E69B89FD1AC}"/>
    <cellStyle name="桁区切り 7" xfId="48" xr:uid="{20D83D96-98E3-42B4-B406-7F20DDF43618}"/>
    <cellStyle name="桁区切り 8" xfId="49" xr:uid="{860DFFD1-9101-4BE3-B574-043729E1C518}"/>
    <cellStyle name="桁区切り 9" xfId="50" xr:uid="{092283D0-763D-49B3-97EE-39590367CB01}"/>
    <cellStyle name="見出し 1 2" xfId="51" xr:uid="{7DCF5026-102A-46B9-A85D-12EF3A75AF22}"/>
    <cellStyle name="見出し 2 2" xfId="52" xr:uid="{D9BF23C8-ADC1-431C-A691-D115DD3DF612}"/>
    <cellStyle name="見出し 3 2" xfId="53" xr:uid="{320E4936-AE9A-4AA3-AAB0-05480D0E6AD2}"/>
    <cellStyle name="見出し 4 2" xfId="54" xr:uid="{1AFD8C44-21C7-43F0-98B0-29CBBD38E1E4}"/>
    <cellStyle name="集計 2" xfId="55" xr:uid="{8FC630A0-98C1-480E-8C39-0BC2836DA0D8}"/>
    <cellStyle name="出力 2" xfId="56" xr:uid="{F69CE99D-4F16-4E7E-9E4B-FE38409967A9}"/>
    <cellStyle name="説明文 2" xfId="57" xr:uid="{9002103E-0B9D-4B20-9D83-59C1314BA9AA}"/>
    <cellStyle name="入力 2" xfId="58" xr:uid="{81B7A020-185B-4E0C-A464-BC7CD924B54B}"/>
    <cellStyle name="標準" xfId="0" builtinId="0"/>
    <cellStyle name="標準 10" xfId="59" xr:uid="{8588559D-26F4-4D3B-9D3F-6076EF03D7DC}"/>
    <cellStyle name="標準 10 2" xfId="60" xr:uid="{4B4313BE-4DF2-4B57-88F0-CD1E5A3A1403}"/>
    <cellStyle name="標準 11" xfId="61" xr:uid="{B5D907BA-8A15-4A3F-9DB6-438787CE0A6C}"/>
    <cellStyle name="標準 12" xfId="62" xr:uid="{E047F264-C77C-4825-A0F5-B96B0D18A09F}"/>
    <cellStyle name="標準 12 2" xfId="63" xr:uid="{6A7C31B3-A005-4919-81E4-7227A92C129B}"/>
    <cellStyle name="標準 12 3" xfId="104" xr:uid="{75628B60-B4AF-4E3B-9244-9ADF43874F60}"/>
    <cellStyle name="標準 13" xfId="64" xr:uid="{C895C2DC-EEF7-4FE9-A24A-169127BD8D3A}"/>
    <cellStyle name="標準 13 2" xfId="65" xr:uid="{4F826210-50D5-46E5-9AD9-2A110D5A0F44}"/>
    <cellStyle name="標準 14" xfId="66" xr:uid="{FD5D8D0F-C528-470D-867A-8B0A6AE75926}"/>
    <cellStyle name="標準 15" xfId="67" xr:uid="{15B43B0F-D601-4A7C-A624-C20C6A1E4C05}"/>
    <cellStyle name="標準 16" xfId="68" xr:uid="{DE547903-46B0-4533-866D-1838BCD394C7}"/>
    <cellStyle name="標準 17" xfId="69" xr:uid="{4907C9B3-5A5F-4449-9FD9-27C18D171F7D}"/>
    <cellStyle name="標準 18" xfId="70" xr:uid="{141934E8-290F-40D1-B4B8-60C249BC7522}"/>
    <cellStyle name="標準 19" xfId="1" xr:uid="{C6F7CBB8-5DBD-41CC-8456-DD8922DB10A4}"/>
    <cellStyle name="標準 2" xfId="71" xr:uid="{393F5023-36D2-4F8C-B2C8-846CB50164FB}"/>
    <cellStyle name="標準 2 2" xfId="72" xr:uid="{A0620929-A81C-4A03-B836-D804B884D929}"/>
    <cellStyle name="標準 2 3" xfId="105" xr:uid="{CD2F8F7D-F766-4C32-92FE-4D34BD677DA6}"/>
    <cellStyle name="標準 3" xfId="73" xr:uid="{D11F916C-F98E-4ED3-85BA-597FF4AD8FE7}"/>
    <cellStyle name="標準 3 2" xfId="74" xr:uid="{989F8BED-7313-456D-B598-2428444D5DF9}"/>
    <cellStyle name="標準 3 2 2" xfId="75" xr:uid="{EB1454C0-5F67-4061-BE20-65DD3F629852}"/>
    <cellStyle name="標準 3 3" xfId="76" xr:uid="{7530C23B-F0DB-4C29-B2AC-9BE1879BE4AD}"/>
    <cellStyle name="標準 3 4" xfId="77" xr:uid="{26FBC996-26B0-4E0B-BA20-6D6A1AEC1CEE}"/>
    <cellStyle name="標準 3 5" xfId="78" xr:uid="{4168403E-5DF6-4320-8BE1-0F8C0BB6C181}"/>
    <cellStyle name="標準 4" xfId="79" xr:uid="{2FC08FD2-D84D-4D84-80C2-820741B3D03E}"/>
    <cellStyle name="標準 4 2" xfId="80" xr:uid="{09D614C4-9E49-4CF7-923A-2B5ECC665706}"/>
    <cellStyle name="標準 4 3" xfId="106" xr:uid="{08CBD86D-3634-4F1D-9C2B-58805B44ECFE}"/>
    <cellStyle name="標準 5" xfId="81" xr:uid="{51C5A5F8-BEBD-49D9-A65A-1E9D0989E52C}"/>
    <cellStyle name="標準 5 2" xfId="82" xr:uid="{C52F24C5-29A0-43CA-902A-9FA10E402A3E}"/>
    <cellStyle name="標準 5 2 2" xfId="83" xr:uid="{33C0B63E-C9F6-402A-B6C4-C8CC26D9254C}"/>
    <cellStyle name="標準 5 2 2 2" xfId="84" xr:uid="{CFA34AA1-C84D-4EA2-BDC4-898E7D3CAEB8}"/>
    <cellStyle name="標準 5 2 3" xfId="85" xr:uid="{32DD8982-8AA1-4F3F-871E-C4030E5BB81E}"/>
    <cellStyle name="標準 5 3" xfId="86" xr:uid="{459F6BCD-565A-4D81-BE81-87B19E34C69C}"/>
    <cellStyle name="標準 5 3 2" xfId="87" xr:uid="{14EB9324-57DF-44CD-B814-024E49CEC2A7}"/>
    <cellStyle name="標準 5 4" xfId="88" xr:uid="{BB1BF57C-E10C-4FC7-A680-2F287CD9303E}"/>
    <cellStyle name="標準 5 5" xfId="89" xr:uid="{4604A0B0-1109-409E-93CD-9BC343A7C294}"/>
    <cellStyle name="標準 5 6" xfId="90" xr:uid="{40A9AD2A-C97B-4385-ADEA-7F3542D9C30E}"/>
    <cellStyle name="標準 6" xfId="91" xr:uid="{8A27E118-351D-4966-BB34-4FCC7E244BFD}"/>
    <cellStyle name="標準 6 2" xfId="92" xr:uid="{B40E0239-5329-46BB-A9D7-2A348514A657}"/>
    <cellStyle name="標準 7" xfId="93" xr:uid="{2A05F569-13A1-4416-85D8-18DE90A37DE6}"/>
    <cellStyle name="標準 7 2" xfId="94" xr:uid="{3E4DB814-6902-4A51-8343-B899D3EB9F33}"/>
    <cellStyle name="標準 7 2 2" xfId="95" xr:uid="{167B6804-A422-4306-AA3B-1F1A7827644F}"/>
    <cellStyle name="標準 7 3" xfId="96" xr:uid="{792CFD27-2BA1-419C-8423-CE554DEB9EAB}"/>
    <cellStyle name="標準 7 4" xfId="97" xr:uid="{77AFB88D-5C29-464F-90EB-78888E48ADF6}"/>
    <cellStyle name="標準 8" xfId="98" xr:uid="{3A67E491-7AD6-4E83-BCD1-FD2840C0D912}"/>
    <cellStyle name="標準 8 2" xfId="99" xr:uid="{3F38EED6-BDBE-48BE-87AF-99061D338AE4}"/>
    <cellStyle name="標準 9" xfId="100" xr:uid="{CE84146C-BA5F-49A9-BBF2-3E5F91136537}"/>
    <cellStyle name="標準 9 2" xfId="101" xr:uid="{B966FC2A-3B14-4622-9CF0-B84980701A57}"/>
    <cellStyle name="良い 2" xfId="102" xr:uid="{21176320-49D9-413B-9740-DC2A5D447D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1</a:t>
            </a:r>
            <a:r>
              <a:rPr lang="ja-JP" altLang="en-US"/>
              <a:t>　</a:t>
            </a:r>
            <a:r>
              <a:rPr lang="en-US"/>
              <a:t>UV</a:t>
            </a:r>
            <a:r>
              <a:rPr lang="ja-JP"/>
              <a:t>曲線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高度成長期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4D47B57-256C-4950-965F-E84EF956D1CC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A7C-4630-A6B0-E6C9B59C2E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7C-4630-A6B0-E6C9B59C2E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2E56A2E-9029-448D-A8AD-DABA8AA17F8A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A7C-4630-A6B0-E6C9B59C2EE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7C-4630-A6B0-E6C9B59C2EE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2AE659D-8C81-411E-99F1-362214E884F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A7C-4630-A6B0-E6C9B59C2EE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7C-4630-A6B0-E6C9B59C2EE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DDB1E72-F1CD-4447-A222-3669E915AD7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A7C-4630-A6B0-E6C9B59C2EE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7C-4630-A6B0-E6C9B59C2EE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C98EB3C-6173-401C-957A-5B5235E2AD4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A7C-4630-A6B0-E6C9B59C2E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UV曲線データ!$B$3:$B$11</c:f>
              <c:numCache>
                <c:formatCode>General</c:formatCode>
                <c:ptCount val="9"/>
                <c:pt idx="0">
                  <c:v>1.1000000000000001</c:v>
                </c:pt>
                <c:pt idx="1">
                  <c:v>1.3</c:v>
                </c:pt>
                <c:pt idx="2">
                  <c:v>1.3</c:v>
                </c:pt>
                <c:pt idx="3">
                  <c:v>1.2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1.2</c:v>
                </c:pt>
                <c:pt idx="7">
                  <c:v>1.3</c:v>
                </c:pt>
                <c:pt idx="8">
                  <c:v>1.3</c:v>
                </c:pt>
              </c:numCache>
            </c:numRef>
          </c:xVal>
          <c:yVal>
            <c:numRef>
              <c:f>UV曲線データ!$C$3:$C$11</c:f>
              <c:numCache>
                <c:formatCode>General</c:formatCode>
                <c:ptCount val="9"/>
                <c:pt idx="0">
                  <c:v>1.1200000000000001</c:v>
                </c:pt>
                <c:pt idx="1">
                  <c:v>0.88</c:v>
                </c:pt>
                <c:pt idx="2">
                  <c:v>1.04</c:v>
                </c:pt>
                <c:pt idx="3">
                  <c:v>1.32</c:v>
                </c:pt>
                <c:pt idx="4">
                  <c:v>1.36</c:v>
                </c:pt>
                <c:pt idx="5">
                  <c:v>1.54</c:v>
                </c:pt>
                <c:pt idx="6">
                  <c:v>1.61</c:v>
                </c:pt>
                <c:pt idx="7">
                  <c:v>1.29</c:v>
                </c:pt>
                <c:pt idx="8">
                  <c:v>1.51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UV曲線データ!$D$3:$D$11</c15:f>
                <c15:dlblRangeCache>
                  <c:ptCount val="9"/>
                  <c:pt idx="0">
                    <c:v>64</c:v>
                  </c:pt>
                  <c:pt idx="1">
                    <c:v>65</c:v>
                  </c:pt>
                  <c:pt idx="2">
                    <c:v>66</c:v>
                  </c:pt>
                  <c:pt idx="3">
                    <c:v>67</c:v>
                  </c:pt>
                  <c:pt idx="4">
                    <c:v>68</c:v>
                  </c:pt>
                  <c:pt idx="5">
                    <c:v>69</c:v>
                  </c:pt>
                  <c:pt idx="6">
                    <c:v>70</c:v>
                  </c:pt>
                  <c:pt idx="7">
                    <c:v>71</c:v>
                  </c:pt>
                  <c:pt idx="8">
                    <c:v>72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A7C-4630-A6B0-E6C9B59C2EEE}"/>
            </c:ext>
          </c:extLst>
        </c:ser>
        <c:ser>
          <c:idx val="1"/>
          <c:order val="1"/>
          <c:tx>
            <c:v>安定成長期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8FFB16E-F7D0-482D-9282-45E274CF6076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A7C-4630-A6B0-E6C9B59C2E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2F8B78-58C3-42E8-8462-E7BFA7D7BE2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A7C-4630-A6B0-E6C9B59C2E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81E4C7-E495-4013-9172-09A283521B7F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A7C-4630-A6B0-E6C9B59C2EE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A7C-4630-A6B0-E6C9B59C2EE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A7C-4630-A6B0-E6C9B59C2EE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EA031A0-83EA-4AA1-8859-68EE78C32B36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A7C-4630-A6B0-E6C9B59C2EE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A7C-4630-A6B0-E6C9B59C2EE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A7C-4630-A6B0-E6C9B59C2EE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A7C-4630-A6B0-E6C9B59C2EE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76605A1-72C0-49F1-A5A0-DE67EC9DC9E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A7C-4630-A6B0-E6C9B59C2EE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A7C-4630-A6B0-E6C9B59C2EE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A7C-4630-A6B0-E6C9B59C2EE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F6A3EC0-7209-46EF-AD15-45701D6B7F5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A7C-4630-A6B0-E6C9B59C2E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UV曲線データ!$B$12:$B$24</c:f>
              <c:numCache>
                <c:formatCode>General</c:formatCode>
                <c:ptCount val="13"/>
                <c:pt idx="0">
                  <c:v>1.3</c:v>
                </c:pt>
                <c:pt idx="1">
                  <c:v>1.5</c:v>
                </c:pt>
                <c:pt idx="2">
                  <c:v>1.9</c:v>
                </c:pt>
                <c:pt idx="3">
                  <c:v>2</c:v>
                </c:pt>
                <c:pt idx="4">
                  <c:v>2.1</c:v>
                </c:pt>
                <c:pt idx="5">
                  <c:v>2.2000000000000002</c:v>
                </c:pt>
                <c:pt idx="6">
                  <c:v>2</c:v>
                </c:pt>
                <c:pt idx="7">
                  <c:v>2.1</c:v>
                </c:pt>
                <c:pt idx="8">
                  <c:v>2.2000000000000002</c:v>
                </c:pt>
                <c:pt idx="9">
                  <c:v>2.5</c:v>
                </c:pt>
                <c:pt idx="10">
                  <c:v>2.7</c:v>
                </c:pt>
                <c:pt idx="11">
                  <c:v>2.7</c:v>
                </c:pt>
                <c:pt idx="12">
                  <c:v>2.6</c:v>
                </c:pt>
              </c:numCache>
            </c:numRef>
          </c:xVal>
          <c:yVal>
            <c:numRef>
              <c:f>UV曲線データ!$C$12:$C$24</c:f>
              <c:numCache>
                <c:formatCode>General</c:formatCode>
                <c:ptCount val="13"/>
                <c:pt idx="0">
                  <c:v>2.14</c:v>
                </c:pt>
                <c:pt idx="1">
                  <c:v>1.4</c:v>
                </c:pt>
                <c:pt idx="2">
                  <c:v>0.97</c:v>
                </c:pt>
                <c:pt idx="3">
                  <c:v>1.02</c:v>
                </c:pt>
                <c:pt idx="4">
                  <c:v>0.85</c:v>
                </c:pt>
                <c:pt idx="5">
                  <c:v>0.91</c:v>
                </c:pt>
                <c:pt idx="6">
                  <c:v>1.1100000000000001</c:v>
                </c:pt>
                <c:pt idx="7">
                  <c:v>1.07</c:v>
                </c:pt>
                <c:pt idx="8">
                  <c:v>0.96</c:v>
                </c:pt>
                <c:pt idx="9">
                  <c:v>0.87</c:v>
                </c:pt>
                <c:pt idx="10">
                  <c:v>0.89</c:v>
                </c:pt>
                <c:pt idx="11">
                  <c:v>0.96</c:v>
                </c:pt>
                <c:pt idx="12">
                  <c:v>0.97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UV曲線データ!$D$12:$D$24</c15:f>
                <c15:dlblRangeCache>
                  <c:ptCount val="13"/>
                  <c:pt idx="0">
                    <c:v>73</c:v>
                  </c:pt>
                  <c:pt idx="1">
                    <c:v>74</c:v>
                  </c:pt>
                  <c:pt idx="2">
                    <c:v>75</c:v>
                  </c:pt>
                  <c:pt idx="3">
                    <c:v>76</c:v>
                  </c:pt>
                  <c:pt idx="4">
                    <c:v>77</c:v>
                  </c:pt>
                  <c:pt idx="5">
                    <c:v>78</c:v>
                  </c:pt>
                  <c:pt idx="6">
                    <c:v>79</c:v>
                  </c:pt>
                  <c:pt idx="7">
                    <c:v>80</c:v>
                  </c:pt>
                  <c:pt idx="8">
                    <c:v>81</c:v>
                  </c:pt>
                  <c:pt idx="9">
                    <c:v>82</c:v>
                  </c:pt>
                  <c:pt idx="10">
                    <c:v>83</c:v>
                  </c:pt>
                  <c:pt idx="11">
                    <c:v>84</c:v>
                  </c:pt>
                  <c:pt idx="12">
                    <c:v>85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A7C-4630-A6B0-E6C9B59C2EEE}"/>
            </c:ext>
          </c:extLst>
        </c:ser>
        <c:ser>
          <c:idx val="2"/>
          <c:order val="2"/>
          <c:tx>
            <c:v>バブル期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UV曲線データ!$B$25:$B$28</c:f>
              <c:numCache>
                <c:formatCode>General</c:formatCode>
                <c:ptCount val="4"/>
                <c:pt idx="0">
                  <c:v>2.8</c:v>
                </c:pt>
                <c:pt idx="1">
                  <c:v>2.8</c:v>
                </c:pt>
                <c:pt idx="2">
                  <c:v>2.4</c:v>
                </c:pt>
                <c:pt idx="3">
                  <c:v>2.2000000000000002</c:v>
                </c:pt>
              </c:numCache>
            </c:numRef>
          </c:xVal>
          <c:yVal>
            <c:numRef>
              <c:f>UV曲線データ!$C$25:$C$28</c:f>
              <c:numCache>
                <c:formatCode>General</c:formatCode>
                <c:ptCount val="4"/>
                <c:pt idx="0">
                  <c:v>0.91</c:v>
                </c:pt>
                <c:pt idx="1">
                  <c:v>1.08</c:v>
                </c:pt>
                <c:pt idx="2">
                  <c:v>1.53</c:v>
                </c:pt>
                <c:pt idx="3">
                  <c:v>1.85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7C-4630-A6B0-E6C9B59C2EEE}"/>
            </c:ext>
          </c:extLst>
        </c:ser>
        <c:ser>
          <c:idx val="3"/>
          <c:order val="3"/>
          <c:tx>
            <c:v>バブル崩壊以後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F471181-CDF2-4741-8A87-18886AF7F470}" type="CELLRANGE">
                      <a:rPr lang="en-US" altLang="ja-JP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9A7C-4630-A6B0-E6C9B59C2EE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A7C-4630-A6B0-E6C9B59C2E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DE806B-2287-4648-B407-2D22ACE8AB8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A7C-4630-A6B0-E6C9B59C2E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A323E0-C463-4FFF-9571-540EF3F94EF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A7C-4630-A6B0-E6C9B59C2EE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A0B1500-0C24-4C01-A7CC-6C9A66AA478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A7C-4630-A6B0-E6C9B59C2EE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B2EB715-90CF-4E50-9842-D110AB39ADD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A7C-4630-A6B0-E6C9B59C2EE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A7C-4630-A6B0-E6C9B59C2EE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982DAE1-04BA-4CB2-9644-12647B574C0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A7C-4630-A6B0-E6C9B59C2EE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FC193D3-45A3-44EC-B3A6-1BC5CC20271E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A7C-4630-A6B0-E6C9B59C2EE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A7C-4630-A6B0-E6C9B59C2EE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5DC6118-9757-4AB1-A6F9-6F0102A4E53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A7C-4630-A6B0-E6C9B59C2EE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4155E73-FF36-4602-A5F9-130BAB2CCDDD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A7C-4630-A6B0-E6C9B59C2EE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1963610-71BE-407C-A88F-B3682E77B621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A7C-4630-A6B0-E6C9B59C2EE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A7C-4630-A6B0-E6C9B59C2EE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D0C536B-8881-42F3-BF36-E6641B87284B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A7C-4630-A6B0-E6C9B59C2EE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F15A7D9-F565-442C-979E-06B9B509B938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A7C-4630-A6B0-E6C9B59C2EE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A21C231-4376-46BE-90A9-DC249086D24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A7C-4630-A6B0-E6C9B59C2EE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A7C-4630-A6B0-E6C9B59C2EE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841CA07-4AE4-4B2C-80AA-032E1316BED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A7C-4630-A6B0-E6C9B59C2EE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9A537BE-2546-4532-8D0A-2742B4F04B4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A7C-4630-A6B0-E6C9B59C2EE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A7C-4630-A6B0-E6C9B59C2EE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9A7C-4630-A6B0-E6C9B59C2EE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FA1CD83-774A-43A2-BFBA-3AEDBBDF3AA2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A7C-4630-A6B0-E6C9B59C2EE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8D3E094-4A8C-457F-ABA9-DA159714AE89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A7C-4630-A6B0-E6C9B59C2EE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435A6D7-DE8D-4DE6-B273-C73E6B5A0D73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A7C-4630-A6B0-E6C9B59C2EE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F5896EC-3E33-4B0E-99B7-205836E92B9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A7C-4630-A6B0-E6C9B59C2EE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FFAF9BE-C3A6-4E40-8CFF-B4429ABE103C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A7C-4630-A6B0-E6C9B59C2EE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F7BCAEC-C287-478D-A307-173D23083AD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A7C-4630-A6B0-E6C9B59C2EEE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9A7C-4630-A6B0-E6C9B59C2EE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AE1E71F-488B-499C-840B-932B77436950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A7C-4630-A6B0-E6C9B59C2EEE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9A7C-4630-A6B0-E6C9B59C2EE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93F4EC4-3022-4662-B5E3-0D3ACA9C1AC4}" type="CELLRANGE">
                      <a:rPr lang="ja-JP" altLang="en-US"/>
                      <a:pPr/>
                      <a:t>[CELLRANGE]</a:t>
                    </a:fld>
                    <a:endParaRPr lang="ja-JP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A7C-4630-A6B0-E6C9B59C2EEE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A7C-4630-A6B0-E6C9B59C2EEE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A7C-4630-A6B0-E6C9B59C2EEE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A7C-4630-A6B0-E6C9B59C2E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メイリオ" panose="020B0604030504040204" pitchFamily="50" charset="-128"/>
                    <a:ea typeface="メイリオ" panose="020B0604030504040204" pitchFamily="50" charset="-128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UV曲線データ!$B$29:$B$63</c:f>
              <c:numCache>
                <c:formatCode>General</c:formatCode>
                <c:ptCount val="35"/>
                <c:pt idx="0">
                  <c:v>2.1</c:v>
                </c:pt>
                <c:pt idx="1">
                  <c:v>2.1</c:v>
                </c:pt>
                <c:pt idx="2">
                  <c:v>2.2000000000000002</c:v>
                </c:pt>
                <c:pt idx="3">
                  <c:v>2.6</c:v>
                </c:pt>
                <c:pt idx="4">
                  <c:v>2.9</c:v>
                </c:pt>
                <c:pt idx="5">
                  <c:v>3.2</c:v>
                </c:pt>
                <c:pt idx="6">
                  <c:v>3.3</c:v>
                </c:pt>
                <c:pt idx="7">
                  <c:v>3.5</c:v>
                </c:pt>
                <c:pt idx="8">
                  <c:v>4.3</c:v>
                </c:pt>
                <c:pt idx="9">
                  <c:v>4.7</c:v>
                </c:pt>
                <c:pt idx="10">
                  <c:v>4.7</c:v>
                </c:pt>
                <c:pt idx="11">
                  <c:v>5.2</c:v>
                </c:pt>
                <c:pt idx="12">
                  <c:v>5.4</c:v>
                </c:pt>
                <c:pt idx="13">
                  <c:v>5.0999999999999996</c:v>
                </c:pt>
                <c:pt idx="14">
                  <c:v>4.5999999999999996</c:v>
                </c:pt>
                <c:pt idx="15">
                  <c:v>4.3</c:v>
                </c:pt>
                <c:pt idx="16">
                  <c:v>4.0999999999999996</c:v>
                </c:pt>
                <c:pt idx="17">
                  <c:v>3.8</c:v>
                </c:pt>
                <c:pt idx="18">
                  <c:v>4.0999999999999996</c:v>
                </c:pt>
                <c:pt idx="19">
                  <c:v>5.2</c:v>
                </c:pt>
                <c:pt idx="20">
                  <c:v>4.9000000000000004</c:v>
                </c:pt>
                <c:pt idx="21">
                  <c:v>4.5</c:v>
                </c:pt>
                <c:pt idx="22">
                  <c:v>4.3</c:v>
                </c:pt>
                <c:pt idx="23">
                  <c:v>3.9</c:v>
                </c:pt>
                <c:pt idx="24">
                  <c:v>3.5</c:v>
                </c:pt>
                <c:pt idx="25">
                  <c:v>3.3</c:v>
                </c:pt>
                <c:pt idx="26">
                  <c:v>3</c:v>
                </c:pt>
                <c:pt idx="27">
                  <c:v>2.7</c:v>
                </c:pt>
                <c:pt idx="28">
                  <c:v>2.4</c:v>
                </c:pt>
                <c:pt idx="29">
                  <c:v>2.2999999999999998</c:v>
                </c:pt>
                <c:pt idx="30">
                  <c:v>2.9</c:v>
                </c:pt>
                <c:pt idx="31">
                  <c:v>2.8</c:v>
                </c:pt>
                <c:pt idx="32">
                  <c:v>2.6</c:v>
                </c:pt>
                <c:pt idx="33">
                  <c:v>2.6</c:v>
                </c:pt>
                <c:pt idx="34">
                  <c:v>2.5</c:v>
                </c:pt>
              </c:numCache>
            </c:numRef>
          </c:xVal>
          <c:yVal>
            <c:numRef>
              <c:f>UV曲線データ!$C$29:$C$63</c:f>
              <c:numCache>
                <c:formatCode>General</c:formatCode>
                <c:ptCount val="35"/>
                <c:pt idx="0">
                  <c:v>2.0699999999999998</c:v>
                </c:pt>
                <c:pt idx="1">
                  <c:v>2.0499999999999998</c:v>
                </c:pt>
                <c:pt idx="2">
                  <c:v>1.61</c:v>
                </c:pt>
                <c:pt idx="3">
                  <c:v>1.2</c:v>
                </c:pt>
                <c:pt idx="4">
                  <c:v>1.08</c:v>
                </c:pt>
                <c:pt idx="5">
                  <c:v>1.06</c:v>
                </c:pt>
                <c:pt idx="6">
                  <c:v>1.19</c:v>
                </c:pt>
                <c:pt idx="7">
                  <c:v>1.2</c:v>
                </c:pt>
                <c:pt idx="8">
                  <c:v>0.92</c:v>
                </c:pt>
                <c:pt idx="9">
                  <c:v>0.87</c:v>
                </c:pt>
                <c:pt idx="10">
                  <c:v>1.05</c:v>
                </c:pt>
                <c:pt idx="11">
                  <c:v>1.01</c:v>
                </c:pt>
                <c:pt idx="12">
                  <c:v>0.93</c:v>
                </c:pt>
                <c:pt idx="13">
                  <c:v>1.07</c:v>
                </c:pt>
                <c:pt idx="14">
                  <c:v>1.29</c:v>
                </c:pt>
                <c:pt idx="15">
                  <c:v>1.46</c:v>
                </c:pt>
                <c:pt idx="16">
                  <c:v>1.56</c:v>
                </c:pt>
                <c:pt idx="17">
                  <c:v>1.52</c:v>
                </c:pt>
                <c:pt idx="18">
                  <c:v>1.25</c:v>
                </c:pt>
                <c:pt idx="19">
                  <c:v>0.79</c:v>
                </c:pt>
                <c:pt idx="20">
                  <c:v>0.89</c:v>
                </c:pt>
                <c:pt idx="21">
                  <c:v>1.05</c:v>
                </c:pt>
                <c:pt idx="22">
                  <c:v>1.28</c:v>
                </c:pt>
                <c:pt idx="23">
                  <c:v>1.46</c:v>
                </c:pt>
                <c:pt idx="24">
                  <c:v>1.66</c:v>
                </c:pt>
                <c:pt idx="25">
                  <c:v>1.8</c:v>
                </c:pt>
                <c:pt idx="26">
                  <c:v>2.04</c:v>
                </c:pt>
                <c:pt idx="27">
                  <c:v>2.2400000000000002</c:v>
                </c:pt>
                <c:pt idx="28">
                  <c:v>2.39</c:v>
                </c:pt>
                <c:pt idx="29">
                  <c:v>2.42</c:v>
                </c:pt>
                <c:pt idx="30">
                  <c:v>1.95</c:v>
                </c:pt>
                <c:pt idx="31">
                  <c:v>2.02</c:v>
                </c:pt>
                <c:pt idx="32">
                  <c:v>2.2599999999999998</c:v>
                </c:pt>
                <c:pt idx="33">
                  <c:v>2.29</c:v>
                </c:pt>
                <c:pt idx="34">
                  <c:v>2.25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UV曲線データ!$D$29:$D$63</c15:f>
                <c15:dlblRangeCache>
                  <c:ptCount val="35"/>
                  <c:pt idx="0">
                    <c:v>90</c:v>
                  </c:pt>
                  <c:pt idx="1">
                    <c:v>91</c:v>
                  </c:pt>
                  <c:pt idx="2">
                    <c:v>92</c:v>
                  </c:pt>
                  <c:pt idx="3">
                    <c:v>93</c:v>
                  </c:pt>
                  <c:pt idx="4">
                    <c:v>94</c:v>
                  </c:pt>
                  <c:pt idx="5">
                    <c:v>95</c:v>
                  </c:pt>
                  <c:pt idx="6">
                    <c:v>96</c:v>
                  </c:pt>
                  <c:pt idx="7">
                    <c:v>97</c:v>
                  </c:pt>
                  <c:pt idx="8">
                    <c:v>98</c:v>
                  </c:pt>
                  <c:pt idx="9">
                    <c:v>99</c:v>
                  </c:pt>
                  <c:pt idx="10">
                    <c:v>00</c:v>
                  </c:pt>
                  <c:pt idx="11">
                    <c:v>01</c:v>
                  </c:pt>
                  <c:pt idx="12">
                    <c:v>02</c:v>
                  </c:pt>
                  <c:pt idx="13">
                    <c:v>03</c:v>
                  </c:pt>
                  <c:pt idx="14">
                    <c:v>04</c:v>
                  </c:pt>
                  <c:pt idx="15">
                    <c:v>05</c:v>
                  </c:pt>
                  <c:pt idx="16">
                    <c:v>06</c:v>
                  </c:pt>
                  <c:pt idx="17">
                    <c:v>07</c:v>
                  </c:pt>
                  <c:pt idx="18">
                    <c:v>08</c:v>
                  </c:pt>
                  <c:pt idx="19">
                    <c:v>09</c:v>
                  </c:pt>
                  <c:pt idx="20">
                    <c:v>10</c:v>
                  </c:pt>
                  <c:pt idx="21">
                    <c:v>11</c:v>
                  </c:pt>
                  <c:pt idx="22">
                    <c:v>12</c:v>
                  </c:pt>
                  <c:pt idx="23">
                    <c:v>13</c:v>
                  </c:pt>
                  <c:pt idx="24">
                    <c:v>14</c:v>
                  </c:pt>
                  <c:pt idx="25">
                    <c:v>15</c:v>
                  </c:pt>
                  <c:pt idx="26">
                    <c:v>16</c:v>
                  </c:pt>
                  <c:pt idx="27">
                    <c:v>17</c:v>
                  </c:pt>
                  <c:pt idx="28">
                    <c:v>18</c:v>
                  </c:pt>
                  <c:pt idx="29">
                    <c:v>19</c:v>
                  </c:pt>
                  <c:pt idx="30">
                    <c:v>20</c:v>
                  </c:pt>
                  <c:pt idx="31">
                    <c:v>21</c:v>
                  </c:pt>
                  <c:pt idx="32">
                    <c:v>22</c:v>
                  </c:pt>
                  <c:pt idx="33">
                    <c:v>23</c:v>
                  </c:pt>
                  <c:pt idx="34">
                    <c:v>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9A7C-4630-A6B0-E6C9B59C2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574335"/>
        <c:axId val="883577215"/>
      </c:scatterChart>
      <c:valAx>
        <c:axId val="88357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UV曲線データ!$B$1</c:f>
              <c:strCache>
                <c:ptCount val="1"/>
                <c:pt idx="0">
                  <c:v>完全失業率(%)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883577215"/>
        <c:crosses val="autoZero"/>
        <c:crossBetween val="midCat"/>
      </c:valAx>
      <c:valAx>
        <c:axId val="88357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UV曲線データ!$C$1</c:f>
              <c:strCache>
                <c:ptCount val="1"/>
                <c:pt idx="0">
                  <c:v>新規求人倍率(パートタイムを含む一般)(倍)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メイリオ" panose="020B0604030504040204" pitchFamily="50" charset="-128"/>
                  <a:ea typeface="メイリオ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defRPr>
            </a:pPr>
            <a:endParaRPr lang="ja-JP"/>
          </a:p>
        </c:txPr>
        <c:crossAx val="88357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2028984945686594"/>
          <c:y val="0.12087947218222488"/>
          <c:w val="0.35813568815566904"/>
          <c:h val="0.1209422558415993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メイリオ" panose="020B0604030504040204" pitchFamily="50" charset="-128"/>
          <a:ea typeface="メイリオ" panose="020B0604030504040204" pitchFamily="50" charset="-128"/>
        </a:defRPr>
      </a:pPr>
      <a:endParaRPr lang="ja-JP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61A540-8CAE-4B39-853C-F90B0383D289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21</xdr:col>
      <xdr:colOff>243840</xdr:colOff>
      <xdr:row>16</xdr:row>
      <xdr:rowOff>198120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A8A9EF9-C205-4FDB-BC7D-4191C40BB388}"/>
            </a:ext>
          </a:extLst>
        </xdr:cNvPr>
        <xdr:cNvSpPr txBox="1"/>
      </xdr:nvSpPr>
      <xdr:spPr>
        <a:xfrm>
          <a:off x="10104120" y="228600"/>
          <a:ext cx="4267200" cy="3627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データ出典</a:t>
          </a:r>
          <a:r>
            <a:rPr kumimoji="1" lang="en-US" altLang="ja-JP" sz="1100"/>
            <a:t>】</a:t>
          </a:r>
        </a:p>
        <a:p>
          <a:r>
            <a:rPr kumimoji="1" lang="ja-JP" altLang="en-US" sz="1100"/>
            <a:t>就職件数・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新規求人数</a:t>
          </a:r>
          <a:r>
            <a:rPr kumimoji="1" lang="ja-JP" altLang="en-US" sz="1100"/>
            <a:t>：</a:t>
          </a:r>
          <a:endParaRPr kumimoji="1" lang="en-US" altLang="ja-JP" sz="1100"/>
        </a:p>
        <a:p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厚生労働省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(2025)</a:t>
          </a:r>
          <a:r>
            <a:rPr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，「一般職業紹介状況（職業安定業務統計）」</a:t>
          </a:r>
          <a:endParaRPr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https://www.e-stat.go.jp/stat-search/files?page=1&amp;layout=dataset&amp;toukei=00450222&amp;stat_infid=000040391057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(2025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日取得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ja-JP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kumimoji="1" lang="en-US" altLang="ja-JP" sz="1100"/>
        </a:p>
        <a:p>
          <a:r>
            <a:rPr kumimoji="1" lang="ja-JP" altLang="en-US" sz="1100"/>
            <a:t>完全失業者数：</a:t>
          </a:r>
          <a:endParaRPr kumimoji="1" lang="en-US" altLang="ja-JP" sz="1100"/>
        </a:p>
        <a:p>
          <a:r>
            <a:rPr kumimoji="1" lang="ja-JP" altLang="en-US" sz="1100"/>
            <a:t>総務省 </a:t>
          </a:r>
          <a:r>
            <a:rPr kumimoji="1" lang="en-US" altLang="ja-JP" sz="1100"/>
            <a:t>(2025)</a:t>
          </a:r>
          <a:r>
            <a:rPr kumimoji="1" lang="ja-JP" altLang="en-US" sz="1100"/>
            <a:t>，「労働力調査」</a:t>
          </a:r>
          <a:endParaRPr kumimoji="1" lang="en-US" altLang="ja-JP" sz="1100"/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https://www.e-stat.go.jp/stat-search/files?page=1&amp;layout=datalist&amp;toukei=00200531&amp;tstat=000001226583&amp;cycle=0&amp;tclass1=000001226851&amp;tclass2=000001226852&amp;stat_infid=000001082681&amp;tclass3val=0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(2025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日取得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0892" cy="6059277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FCB5CF7-17E1-70F3-B8BA-89F9DF7760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0.93948</cdr:y>
    </cdr:from>
    <cdr:to>
      <cdr:x>0.42094</cdr:x>
      <cdr:y>1</cdr:y>
    </cdr:to>
    <cdr:sp macro="" textlink="">
      <cdr:nvSpPr>
        <cdr:cNvPr id="3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6F2D683C-B908-AA5A-1BAB-E0BE972588BC}"/>
            </a:ext>
          </a:extLst>
        </cdr:cNvPr>
        <cdr:cNvSpPr txBox="1"/>
      </cdr:nvSpPr>
      <cdr:spPr>
        <a:xfrm xmlns:a="http://schemas.openxmlformats.org/drawingml/2006/main">
          <a:off x="0" y="5701205"/>
          <a:ext cx="3910908" cy="367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ja-JP" altLang="en-US" sz="1200" b="0" kern="1200"/>
            <a:t>データ出典：厚生労働省 </a:t>
          </a:r>
          <a:r>
            <a:rPr lang="en-US" altLang="ja-JP" sz="1200" b="0" kern="1200"/>
            <a:t>(2025)</a:t>
          </a:r>
          <a:r>
            <a:rPr lang="ja-JP" altLang="en-US" sz="1200" b="0" kern="1200"/>
            <a:t>，総務省 </a:t>
          </a:r>
          <a:r>
            <a:rPr lang="en-US" altLang="ja-JP" sz="1200" b="0" kern="1200"/>
            <a:t>(2025)</a:t>
          </a:r>
          <a:r>
            <a:rPr lang="ja-JP" altLang="en-US" sz="1200" b="0" kern="1200"/>
            <a:t>．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D31D-3BBB-41BD-9F4C-E97225D6FC94}">
  <dimension ref="A1:N63"/>
  <sheetViews>
    <sheetView tabSelected="1" workbookViewId="0"/>
  </sheetViews>
  <sheetFormatPr defaultRowHeight="18"/>
  <cols>
    <col min="14" max="14" width="9.3984375" bestFit="1" customWidth="1"/>
  </cols>
  <sheetData>
    <row r="1" spans="1:14">
      <c r="B1" t="s">
        <v>4</v>
      </c>
      <c r="C1" t="s">
        <v>5</v>
      </c>
      <c r="D1" t="s">
        <v>1</v>
      </c>
      <c r="E1" t="s">
        <v>2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38</v>
      </c>
      <c r="M1" t="s">
        <v>0</v>
      </c>
      <c r="N1" t="s">
        <v>3</v>
      </c>
    </row>
    <row r="2" spans="1:14">
      <c r="A2">
        <v>1963</v>
      </c>
      <c r="B2" s="1">
        <f t="shared" ref="B2:B33" si="0">M2/10000</f>
        <v>16.3749</v>
      </c>
      <c r="C2" s="1">
        <f>N2/10000</f>
        <v>35.979199999999999</v>
      </c>
      <c r="D2">
        <v>59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163749</v>
      </c>
      <c r="N2">
        <v>359792</v>
      </c>
    </row>
    <row r="3" spans="1:14">
      <c r="A3">
        <v>1964</v>
      </c>
      <c r="B3" s="1">
        <f t="shared" si="0"/>
        <v>16.1938</v>
      </c>
      <c r="C3" s="1">
        <f t="shared" ref="C3:C33" si="1">N3/10000</f>
        <v>39.332999999999998</v>
      </c>
      <c r="D3">
        <v>54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>
        <v>161938</v>
      </c>
      <c r="N3">
        <v>393330</v>
      </c>
    </row>
    <row r="4" spans="1:14">
      <c r="A4">
        <v>1965</v>
      </c>
      <c r="B4" s="1">
        <f t="shared" si="0"/>
        <v>14.759399999999999</v>
      </c>
      <c r="C4" s="1">
        <f t="shared" si="1"/>
        <v>30.8551</v>
      </c>
      <c r="D4">
        <v>57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>
        <v>147594</v>
      </c>
      <c r="N4">
        <v>308551</v>
      </c>
    </row>
    <row r="5" spans="1:14">
      <c r="A5">
        <v>1966</v>
      </c>
      <c r="B5" s="1">
        <f t="shared" si="0"/>
        <v>14.927199999999999</v>
      </c>
      <c r="C5" s="1">
        <f t="shared" si="1"/>
        <v>36.099299999999999</v>
      </c>
      <c r="D5">
        <v>65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>
        <v>149272</v>
      </c>
      <c r="N5">
        <v>360993</v>
      </c>
    </row>
    <row r="6" spans="1:14">
      <c r="A6">
        <v>1967</v>
      </c>
      <c r="B6" s="1">
        <f t="shared" si="0"/>
        <v>15.1075</v>
      </c>
      <c r="C6" s="1">
        <f t="shared" si="1"/>
        <v>43.656199999999998</v>
      </c>
      <c r="D6">
        <v>63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151075</v>
      </c>
      <c r="N6">
        <v>436562</v>
      </c>
    </row>
    <row r="7" spans="1:14">
      <c r="A7">
        <v>1968</v>
      </c>
      <c r="B7" s="1">
        <f t="shared" si="0"/>
        <v>15.3437</v>
      </c>
      <c r="C7" s="1">
        <f t="shared" si="1"/>
        <v>44.356000000000002</v>
      </c>
      <c r="D7">
        <v>59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>
        <v>153437</v>
      </c>
      <c r="N7">
        <v>443560</v>
      </c>
    </row>
    <row r="8" spans="1:14">
      <c r="A8">
        <v>1969</v>
      </c>
      <c r="B8" s="1">
        <f t="shared" si="0"/>
        <v>15.600199999999999</v>
      </c>
      <c r="C8" s="1">
        <f t="shared" si="1"/>
        <v>49.276200000000003</v>
      </c>
      <c r="D8">
        <v>57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v>156002</v>
      </c>
      <c r="N8">
        <v>492762</v>
      </c>
    </row>
    <row r="9" spans="1:14">
      <c r="A9">
        <v>1970</v>
      </c>
      <c r="B9" s="1">
        <f t="shared" si="0"/>
        <v>15.834199999999999</v>
      </c>
      <c r="C9" s="1">
        <f t="shared" si="1"/>
        <v>52.137900000000002</v>
      </c>
      <c r="D9">
        <v>59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158342</v>
      </c>
      <c r="N9">
        <v>521379</v>
      </c>
    </row>
    <row r="10" spans="1:14">
      <c r="A10">
        <v>1971</v>
      </c>
      <c r="B10" s="1">
        <f t="shared" si="0"/>
        <v>15.642200000000001</v>
      </c>
      <c r="C10" s="1">
        <f t="shared" si="1"/>
        <v>45.343499999999999</v>
      </c>
      <c r="D10">
        <v>64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156422</v>
      </c>
      <c r="N10">
        <v>453435</v>
      </c>
    </row>
    <row r="11" spans="1:14">
      <c r="A11">
        <v>1972</v>
      </c>
      <c r="B11" s="1">
        <f t="shared" si="0"/>
        <v>15.6486</v>
      </c>
      <c r="C11" s="1">
        <f t="shared" si="1"/>
        <v>51.641599999999997</v>
      </c>
      <c r="D11">
        <v>73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156486</v>
      </c>
      <c r="N11">
        <v>516416</v>
      </c>
    </row>
    <row r="12" spans="1:14">
      <c r="A12">
        <v>1973</v>
      </c>
      <c r="B12" s="1">
        <f t="shared" si="0"/>
        <v>15.6861</v>
      </c>
      <c r="C12" s="1">
        <f t="shared" si="1"/>
        <v>68.6845</v>
      </c>
      <c r="D12">
        <v>66</v>
      </c>
      <c r="E12">
        <v>11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M12">
        <v>156861</v>
      </c>
      <c r="N12">
        <v>686845</v>
      </c>
    </row>
    <row r="13" spans="1:14">
      <c r="A13">
        <v>1974</v>
      </c>
      <c r="B13" s="1">
        <f t="shared" si="0"/>
        <v>14.5839</v>
      </c>
      <c r="C13" s="1">
        <f t="shared" si="1"/>
        <v>47.654800000000002</v>
      </c>
      <c r="D13">
        <v>68</v>
      </c>
      <c r="E13">
        <v>12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M13">
        <v>145839</v>
      </c>
      <c r="N13">
        <v>476548</v>
      </c>
    </row>
    <row r="14" spans="1:14">
      <c r="A14">
        <v>1975</v>
      </c>
      <c r="B14" s="1">
        <f t="shared" si="0"/>
        <v>12.239800000000001</v>
      </c>
      <c r="C14" s="1">
        <f t="shared" si="1"/>
        <v>33.856699999999996</v>
      </c>
      <c r="D14">
        <v>73</v>
      </c>
      <c r="E14">
        <v>13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M14">
        <v>122398</v>
      </c>
      <c r="N14">
        <v>338567</v>
      </c>
    </row>
    <row r="15" spans="1:14">
      <c r="A15">
        <v>1976</v>
      </c>
      <c r="B15" s="1">
        <f t="shared" si="0"/>
        <v>11.920299999999999</v>
      </c>
      <c r="C15" s="1">
        <f t="shared" si="1"/>
        <v>34.8367</v>
      </c>
      <c r="D15">
        <v>100</v>
      </c>
      <c r="E15">
        <v>14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M15">
        <v>119203</v>
      </c>
      <c r="N15">
        <v>348367</v>
      </c>
    </row>
    <row r="16" spans="1:14">
      <c r="A16">
        <v>1977</v>
      </c>
      <c r="B16" s="1">
        <f t="shared" si="0"/>
        <v>11.8467</v>
      </c>
      <c r="C16" s="1">
        <f t="shared" si="1"/>
        <v>31.144200000000001</v>
      </c>
      <c r="D16">
        <v>108</v>
      </c>
      <c r="E16">
        <v>15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M16">
        <v>118467</v>
      </c>
      <c r="N16">
        <v>311442</v>
      </c>
    </row>
    <row r="17" spans="1:14">
      <c r="A17">
        <v>1978</v>
      </c>
      <c r="B17" s="1">
        <f t="shared" si="0"/>
        <v>11.4956</v>
      </c>
      <c r="C17" s="1">
        <f t="shared" si="1"/>
        <v>33.1111</v>
      </c>
      <c r="D17">
        <v>110</v>
      </c>
      <c r="E17">
        <v>16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M17">
        <v>114956</v>
      </c>
      <c r="N17">
        <v>331111</v>
      </c>
    </row>
    <row r="18" spans="1:14">
      <c r="A18">
        <v>1979</v>
      </c>
      <c r="B18" s="1">
        <f t="shared" si="0"/>
        <v>11.6668</v>
      </c>
      <c r="C18" s="1">
        <f t="shared" si="1"/>
        <v>38.5535</v>
      </c>
      <c r="D18">
        <v>124</v>
      </c>
      <c r="E18">
        <v>17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M18">
        <v>116668</v>
      </c>
      <c r="N18">
        <v>385535</v>
      </c>
    </row>
    <row r="19" spans="1:14">
      <c r="A19">
        <v>1980</v>
      </c>
      <c r="B19" s="1">
        <f t="shared" si="0"/>
        <v>11.8933</v>
      </c>
      <c r="C19" s="1">
        <f t="shared" si="1"/>
        <v>38.953600000000002</v>
      </c>
      <c r="D19">
        <v>117</v>
      </c>
      <c r="E19">
        <v>18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M19">
        <v>118933</v>
      </c>
      <c r="N19">
        <v>389536</v>
      </c>
    </row>
    <row r="20" spans="1:14">
      <c r="A20">
        <v>1981</v>
      </c>
      <c r="B20" s="1">
        <f t="shared" si="0"/>
        <v>11.9566</v>
      </c>
      <c r="C20" s="1">
        <f t="shared" si="1"/>
        <v>37.181600000000003</v>
      </c>
      <c r="D20">
        <v>114</v>
      </c>
      <c r="E20">
        <v>19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M20">
        <v>119566</v>
      </c>
      <c r="N20">
        <v>371816</v>
      </c>
    </row>
    <row r="21" spans="1:14">
      <c r="A21">
        <v>1982</v>
      </c>
      <c r="B21" s="1">
        <f t="shared" si="0"/>
        <v>11.5219</v>
      </c>
      <c r="C21" s="1">
        <f t="shared" si="1"/>
        <v>35.056100000000001</v>
      </c>
      <c r="D21">
        <v>126</v>
      </c>
      <c r="E21">
        <v>20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M21">
        <v>115219</v>
      </c>
      <c r="N21">
        <v>350561</v>
      </c>
    </row>
    <row r="22" spans="1:14">
      <c r="A22">
        <v>1983</v>
      </c>
      <c r="B22" s="1">
        <f t="shared" si="0"/>
        <v>11.7944</v>
      </c>
      <c r="C22" s="1">
        <f t="shared" si="1"/>
        <v>36.326999999999998</v>
      </c>
      <c r="D22">
        <v>136</v>
      </c>
      <c r="E22">
        <v>21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M22">
        <v>117944</v>
      </c>
      <c r="N22">
        <v>363270</v>
      </c>
    </row>
    <row r="23" spans="1:14">
      <c r="A23">
        <v>1984</v>
      </c>
      <c r="B23" s="1">
        <f t="shared" si="0"/>
        <v>12.6676</v>
      </c>
      <c r="C23" s="1">
        <f t="shared" si="1"/>
        <v>39.752400000000002</v>
      </c>
      <c r="D23">
        <v>156</v>
      </c>
      <c r="E23">
        <v>22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M23">
        <v>126676</v>
      </c>
      <c r="N23">
        <v>397524</v>
      </c>
    </row>
    <row r="24" spans="1:14">
      <c r="A24">
        <v>1985</v>
      </c>
      <c r="B24" s="1">
        <f t="shared" si="0"/>
        <v>13.034700000000001</v>
      </c>
      <c r="C24" s="1">
        <f t="shared" si="1"/>
        <v>40.131</v>
      </c>
      <c r="D24">
        <v>161</v>
      </c>
      <c r="E24">
        <v>23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M24">
        <v>130347</v>
      </c>
      <c r="N24">
        <v>401310</v>
      </c>
    </row>
    <row r="25" spans="1:14">
      <c r="A25">
        <v>1986</v>
      </c>
      <c r="B25" s="1">
        <f t="shared" si="0"/>
        <v>12.790699999999999</v>
      </c>
      <c r="C25" s="1">
        <f t="shared" si="1"/>
        <v>38.082799999999999</v>
      </c>
      <c r="D25">
        <v>156</v>
      </c>
      <c r="E25">
        <v>24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M25">
        <v>127907</v>
      </c>
      <c r="N25">
        <v>380828</v>
      </c>
    </row>
    <row r="26" spans="1:14">
      <c r="A26">
        <v>1987</v>
      </c>
      <c r="B26" s="1">
        <f t="shared" si="0"/>
        <v>13.180899999999999</v>
      </c>
      <c r="C26" s="1">
        <f t="shared" si="1"/>
        <v>43.687600000000003</v>
      </c>
      <c r="D26">
        <v>167</v>
      </c>
      <c r="E26">
        <v>25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M26">
        <v>131809</v>
      </c>
      <c r="N26">
        <v>436876</v>
      </c>
    </row>
    <row r="27" spans="1:14">
      <c r="A27">
        <v>1988</v>
      </c>
      <c r="B27" s="1">
        <f t="shared" si="0"/>
        <v>13.4534</v>
      </c>
      <c r="C27" s="1">
        <f t="shared" si="1"/>
        <v>55.911700000000003</v>
      </c>
      <c r="D27">
        <v>173</v>
      </c>
      <c r="E27">
        <v>26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M27">
        <v>134534</v>
      </c>
      <c r="N27">
        <v>559117</v>
      </c>
    </row>
    <row r="28" spans="1:14">
      <c r="A28">
        <v>1989</v>
      </c>
      <c r="B28" s="1">
        <f t="shared" si="0"/>
        <v>12.5989</v>
      </c>
      <c r="C28" s="1">
        <f t="shared" si="1"/>
        <v>61.878599999999999</v>
      </c>
      <c r="D28">
        <v>155</v>
      </c>
      <c r="E28">
        <v>27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M28">
        <v>125989</v>
      </c>
      <c r="N28">
        <v>618786</v>
      </c>
    </row>
    <row r="29" spans="1:14">
      <c r="A29">
        <v>1990</v>
      </c>
      <c r="B29" s="1">
        <f t="shared" si="0"/>
        <v>11.3332</v>
      </c>
      <c r="C29" s="1">
        <f t="shared" si="1"/>
        <v>64.463999999999999</v>
      </c>
      <c r="D29">
        <v>142</v>
      </c>
      <c r="E29">
        <v>28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M29">
        <v>113332</v>
      </c>
      <c r="N29">
        <v>644640</v>
      </c>
    </row>
    <row r="30" spans="1:14">
      <c r="A30">
        <v>1991</v>
      </c>
      <c r="B30" s="1">
        <f t="shared" si="0"/>
        <v>10.6709</v>
      </c>
      <c r="C30" s="1">
        <f t="shared" si="1"/>
        <v>63.475999999999999</v>
      </c>
      <c r="D30">
        <v>134</v>
      </c>
      <c r="E30">
        <v>29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M30">
        <v>106709</v>
      </c>
      <c r="N30">
        <v>634760</v>
      </c>
    </row>
    <row r="31" spans="1:14">
      <c r="A31">
        <v>1992</v>
      </c>
      <c r="B31" s="1">
        <f t="shared" si="0"/>
        <v>10.8284</v>
      </c>
      <c r="C31" s="1">
        <f t="shared" si="1"/>
        <v>55.403500000000001</v>
      </c>
      <c r="D31">
        <v>136</v>
      </c>
      <c r="E31">
        <v>30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M31">
        <v>108284</v>
      </c>
      <c r="N31">
        <v>554035</v>
      </c>
    </row>
    <row r="32" spans="1:14">
      <c r="A32">
        <v>1993</v>
      </c>
      <c r="B32" s="1">
        <f t="shared" si="0"/>
        <v>11.1747</v>
      </c>
      <c r="C32" s="1">
        <f t="shared" si="1"/>
        <v>47.314900000000002</v>
      </c>
      <c r="D32">
        <v>142</v>
      </c>
      <c r="E32">
        <v>31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M32">
        <v>111747</v>
      </c>
      <c r="N32">
        <v>473149</v>
      </c>
    </row>
    <row r="33" spans="1:14">
      <c r="A33">
        <v>1994</v>
      </c>
      <c r="B33" s="1">
        <f t="shared" si="0"/>
        <v>12.062799999999999</v>
      </c>
      <c r="C33" s="1">
        <f t="shared" si="1"/>
        <v>45.5458</v>
      </c>
      <c r="D33">
        <v>166</v>
      </c>
      <c r="E33">
        <v>32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M33">
        <v>120628</v>
      </c>
      <c r="N33">
        <v>455458</v>
      </c>
    </row>
    <row r="34" spans="1:14">
      <c r="A34">
        <v>1995</v>
      </c>
      <c r="B34" s="1">
        <f t="shared" ref="B34:B63" si="2">M34/10000</f>
        <v>12.6684</v>
      </c>
      <c r="C34" s="1">
        <f t="shared" ref="C34:C63" si="3">N34/10000</f>
        <v>47.445700000000002</v>
      </c>
      <c r="D34">
        <v>192</v>
      </c>
      <c r="E34">
        <v>33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M34">
        <v>126684</v>
      </c>
      <c r="N34">
        <v>474457</v>
      </c>
    </row>
    <row r="35" spans="1:14">
      <c r="A35">
        <v>1996</v>
      </c>
      <c r="B35" s="1">
        <f t="shared" si="2"/>
        <v>12.868</v>
      </c>
      <c r="C35" s="1">
        <f t="shared" si="3"/>
        <v>53.09</v>
      </c>
      <c r="D35">
        <v>210</v>
      </c>
      <c r="E35">
        <v>34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M35">
        <v>128680</v>
      </c>
      <c r="N35">
        <v>530900</v>
      </c>
    </row>
    <row r="36" spans="1:14">
      <c r="A36">
        <v>1997</v>
      </c>
      <c r="B36" s="1">
        <f t="shared" si="2"/>
        <v>13.230600000000001</v>
      </c>
      <c r="C36" s="1">
        <f t="shared" si="3"/>
        <v>55.856900000000003</v>
      </c>
      <c r="D36">
        <v>225</v>
      </c>
      <c r="E36">
        <v>35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M36">
        <v>132306</v>
      </c>
      <c r="N36">
        <v>558569</v>
      </c>
    </row>
    <row r="37" spans="1:14">
      <c r="A37">
        <v>1998</v>
      </c>
      <c r="B37" s="1">
        <f t="shared" si="2"/>
        <v>13.73</v>
      </c>
      <c r="C37" s="1">
        <f t="shared" si="3"/>
        <v>49.210299999999997</v>
      </c>
      <c r="D37">
        <v>230</v>
      </c>
      <c r="E37">
        <v>36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M37">
        <v>137300</v>
      </c>
      <c r="N37">
        <v>492103</v>
      </c>
    </row>
    <row r="38" spans="1:14">
      <c r="A38">
        <v>1999</v>
      </c>
      <c r="B38" s="1">
        <f t="shared" si="2"/>
        <v>14.4177</v>
      </c>
      <c r="C38" s="1">
        <f t="shared" si="3"/>
        <v>48.852600000000002</v>
      </c>
      <c r="D38">
        <v>279</v>
      </c>
      <c r="E38">
        <v>37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M38">
        <v>144177</v>
      </c>
      <c r="N38">
        <v>488526</v>
      </c>
    </row>
    <row r="39" spans="1:14">
      <c r="A39">
        <v>2000</v>
      </c>
      <c r="B39" s="1">
        <f t="shared" si="2"/>
        <v>15.5421</v>
      </c>
      <c r="C39" s="1">
        <f t="shared" si="3"/>
        <v>58.592799999999997</v>
      </c>
      <c r="D39">
        <v>317</v>
      </c>
      <c r="E39">
        <v>38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M39">
        <v>155421</v>
      </c>
      <c r="N39">
        <v>585928</v>
      </c>
    </row>
    <row r="40" spans="1:14">
      <c r="A40">
        <v>2001</v>
      </c>
      <c r="B40" s="1">
        <f t="shared" si="2"/>
        <v>15.720599999999999</v>
      </c>
      <c r="C40" s="1">
        <f t="shared" si="3"/>
        <v>59.486199999999997</v>
      </c>
      <c r="D40">
        <v>320</v>
      </c>
      <c r="E40">
        <v>39</v>
      </c>
      <c r="F40">
        <v>0</v>
      </c>
      <c r="G40">
        <v>0</v>
      </c>
      <c r="H40">
        <v>1</v>
      </c>
      <c r="I40">
        <v>0</v>
      </c>
      <c r="J40">
        <v>0</v>
      </c>
      <c r="K40">
        <v>1</v>
      </c>
      <c r="M40">
        <v>157206</v>
      </c>
      <c r="N40">
        <v>594862</v>
      </c>
    </row>
    <row r="41" spans="1:14">
      <c r="A41">
        <v>2002</v>
      </c>
      <c r="B41" s="1">
        <f t="shared" si="2"/>
        <v>16.836600000000001</v>
      </c>
      <c r="C41" s="1">
        <f t="shared" si="3"/>
        <v>59.848199999999999</v>
      </c>
      <c r="D41">
        <v>340</v>
      </c>
      <c r="E41">
        <v>40</v>
      </c>
      <c r="F41">
        <v>0</v>
      </c>
      <c r="G41">
        <v>0</v>
      </c>
      <c r="H41">
        <v>1</v>
      </c>
      <c r="I41">
        <v>0</v>
      </c>
      <c r="J41">
        <v>0</v>
      </c>
      <c r="K41">
        <v>1</v>
      </c>
      <c r="M41">
        <v>168366</v>
      </c>
      <c r="N41">
        <v>598482</v>
      </c>
    </row>
    <row r="42" spans="1:14">
      <c r="A42">
        <v>2003</v>
      </c>
      <c r="B42" s="1">
        <f t="shared" si="2"/>
        <v>17.6143</v>
      </c>
      <c r="C42" s="1">
        <f t="shared" si="3"/>
        <v>67.014399999999995</v>
      </c>
      <c r="D42">
        <v>359</v>
      </c>
      <c r="E42">
        <v>41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M42">
        <v>176143</v>
      </c>
      <c r="N42">
        <v>670144</v>
      </c>
    </row>
    <row r="43" spans="1:14">
      <c r="A43">
        <v>2004</v>
      </c>
      <c r="B43" s="1">
        <f t="shared" si="2"/>
        <v>17.875399999999999</v>
      </c>
      <c r="C43" s="1">
        <f t="shared" si="3"/>
        <v>76.1828</v>
      </c>
      <c r="D43">
        <v>350</v>
      </c>
      <c r="E43">
        <v>42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M43">
        <v>178754</v>
      </c>
      <c r="N43">
        <v>761828</v>
      </c>
    </row>
    <row r="44" spans="1:14">
      <c r="A44">
        <v>2005</v>
      </c>
      <c r="B44" s="1">
        <f t="shared" si="2"/>
        <v>17.695399999999999</v>
      </c>
      <c r="C44" s="1">
        <f t="shared" si="3"/>
        <v>82.566999999999993</v>
      </c>
      <c r="D44">
        <v>313</v>
      </c>
      <c r="E44">
        <v>43</v>
      </c>
      <c r="F44">
        <v>0</v>
      </c>
      <c r="G44">
        <v>0</v>
      </c>
      <c r="H44">
        <v>1</v>
      </c>
      <c r="I44">
        <v>0</v>
      </c>
      <c r="J44">
        <v>0</v>
      </c>
      <c r="K44">
        <v>1</v>
      </c>
      <c r="M44">
        <v>176954</v>
      </c>
      <c r="N44">
        <v>825670</v>
      </c>
    </row>
    <row r="45" spans="1:14">
      <c r="A45">
        <v>2006</v>
      </c>
      <c r="B45" s="1">
        <f t="shared" si="2"/>
        <v>17.807500000000001</v>
      </c>
      <c r="C45" s="1">
        <f t="shared" si="3"/>
        <v>86.086799999999997</v>
      </c>
      <c r="D45">
        <v>294</v>
      </c>
      <c r="E45">
        <v>44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M45">
        <v>178075</v>
      </c>
      <c r="N45">
        <v>860868</v>
      </c>
    </row>
    <row r="46" spans="1:14">
      <c r="A46">
        <v>2007</v>
      </c>
      <c r="B46" s="1">
        <f t="shared" si="2"/>
        <v>17.059799999999999</v>
      </c>
      <c r="C46" s="1">
        <f t="shared" si="3"/>
        <v>80.564800000000005</v>
      </c>
      <c r="D46">
        <v>275</v>
      </c>
      <c r="E46">
        <v>45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M46">
        <v>170598</v>
      </c>
      <c r="N46">
        <v>805648</v>
      </c>
    </row>
    <row r="47" spans="1:14">
      <c r="A47">
        <v>2008</v>
      </c>
      <c r="B47" s="1">
        <f t="shared" si="2"/>
        <v>15.590199999999999</v>
      </c>
      <c r="C47" s="1">
        <f t="shared" si="3"/>
        <v>67.850899999999996</v>
      </c>
      <c r="D47">
        <v>257</v>
      </c>
      <c r="E47">
        <v>46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M47">
        <v>155902</v>
      </c>
      <c r="N47">
        <v>678509</v>
      </c>
    </row>
    <row r="48" spans="1:14">
      <c r="A48">
        <v>2009</v>
      </c>
      <c r="B48" s="1">
        <f t="shared" si="2"/>
        <v>16.6554</v>
      </c>
      <c r="C48" s="1">
        <f t="shared" si="3"/>
        <v>52.273800000000001</v>
      </c>
      <c r="D48">
        <v>265</v>
      </c>
      <c r="E48">
        <v>47</v>
      </c>
      <c r="F48">
        <v>0</v>
      </c>
      <c r="G48">
        <v>0</v>
      </c>
      <c r="H48">
        <v>1</v>
      </c>
      <c r="I48">
        <v>1</v>
      </c>
      <c r="J48">
        <v>0</v>
      </c>
      <c r="K48">
        <v>0</v>
      </c>
      <c r="M48">
        <v>166554</v>
      </c>
      <c r="N48">
        <v>522738</v>
      </c>
    </row>
    <row r="49" spans="1:14">
      <c r="A49">
        <v>2010</v>
      </c>
      <c r="B49" s="1">
        <f t="shared" si="2"/>
        <v>17.930399999999999</v>
      </c>
      <c r="C49" s="1">
        <f t="shared" si="3"/>
        <v>57.147599999999997</v>
      </c>
      <c r="D49">
        <v>336</v>
      </c>
      <c r="E49">
        <v>48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M49">
        <v>179304</v>
      </c>
      <c r="N49">
        <v>571476</v>
      </c>
    </row>
    <row r="50" spans="1:14">
      <c r="A50">
        <v>2011</v>
      </c>
      <c r="B50" s="1">
        <f t="shared" si="2"/>
        <v>18.032800000000002</v>
      </c>
      <c r="C50" s="1">
        <f t="shared" si="3"/>
        <v>65.543899999999994</v>
      </c>
      <c r="D50">
        <v>334</v>
      </c>
      <c r="E50">
        <v>49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M50">
        <v>180328</v>
      </c>
      <c r="N50">
        <v>655439</v>
      </c>
    </row>
    <row r="51" spans="1:14">
      <c r="A51">
        <v>2012</v>
      </c>
      <c r="B51" s="1">
        <f t="shared" si="2"/>
        <v>18.1327</v>
      </c>
      <c r="C51" s="1">
        <f t="shared" si="3"/>
        <v>73.710099999999997</v>
      </c>
      <c r="D51">
        <v>302</v>
      </c>
      <c r="E51">
        <v>50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M51">
        <v>181327</v>
      </c>
      <c r="N51">
        <v>737101</v>
      </c>
    </row>
    <row r="52" spans="1:14">
      <c r="A52">
        <v>2013</v>
      </c>
      <c r="B52" s="1">
        <f t="shared" si="2"/>
        <v>17.649899999999999</v>
      </c>
      <c r="C52" s="1">
        <f t="shared" si="3"/>
        <v>79.4255</v>
      </c>
      <c r="D52">
        <v>285</v>
      </c>
      <c r="E52">
        <v>51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M52">
        <v>176499</v>
      </c>
      <c r="N52">
        <v>794255</v>
      </c>
    </row>
    <row r="53" spans="1:14">
      <c r="A53">
        <v>2014</v>
      </c>
      <c r="B53" s="1">
        <f t="shared" si="2"/>
        <v>16.821899999999999</v>
      </c>
      <c r="C53" s="1">
        <f t="shared" si="3"/>
        <v>83.361000000000004</v>
      </c>
      <c r="D53">
        <v>265</v>
      </c>
      <c r="E53">
        <v>52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M53">
        <v>168219</v>
      </c>
      <c r="N53">
        <v>833610</v>
      </c>
    </row>
    <row r="54" spans="1:14">
      <c r="A54">
        <v>2015</v>
      </c>
      <c r="B54" s="1">
        <f t="shared" si="2"/>
        <v>15.8918</v>
      </c>
      <c r="C54" s="1">
        <f t="shared" si="3"/>
        <v>86.304500000000004</v>
      </c>
      <c r="D54">
        <v>236</v>
      </c>
      <c r="E54">
        <v>53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M54">
        <v>158918</v>
      </c>
      <c r="N54">
        <v>863045</v>
      </c>
    </row>
    <row r="55" spans="1:14">
      <c r="A55">
        <v>2016</v>
      </c>
      <c r="B55" s="1">
        <f t="shared" si="2"/>
        <v>15.0657</v>
      </c>
      <c r="C55" s="1">
        <f t="shared" si="3"/>
        <v>91.069800000000001</v>
      </c>
      <c r="D55">
        <v>222</v>
      </c>
      <c r="E55">
        <v>54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M55">
        <v>150657</v>
      </c>
      <c r="N55">
        <v>910698</v>
      </c>
    </row>
    <row r="56" spans="1:14">
      <c r="A56">
        <v>2017</v>
      </c>
      <c r="B56" s="1">
        <f t="shared" si="2"/>
        <v>14.5943</v>
      </c>
      <c r="C56" s="1">
        <f t="shared" si="3"/>
        <v>96.276600000000002</v>
      </c>
      <c r="D56">
        <v>208</v>
      </c>
      <c r="E56">
        <v>55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M56">
        <v>145943</v>
      </c>
      <c r="N56">
        <v>962766</v>
      </c>
    </row>
    <row r="57" spans="1:14">
      <c r="A57">
        <v>2018</v>
      </c>
      <c r="B57" s="1">
        <f t="shared" si="2"/>
        <v>13.629799999999999</v>
      </c>
      <c r="C57" s="1">
        <f t="shared" si="3"/>
        <v>97.676199999999994</v>
      </c>
      <c r="D57">
        <v>190</v>
      </c>
      <c r="E57">
        <v>56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M57">
        <v>136298</v>
      </c>
      <c r="N57">
        <v>976762</v>
      </c>
    </row>
    <row r="58" spans="1:14">
      <c r="A58">
        <v>2019</v>
      </c>
      <c r="B58" s="1">
        <f t="shared" si="2"/>
        <v>12.688700000000001</v>
      </c>
      <c r="C58" s="1">
        <f t="shared" si="3"/>
        <v>95.876800000000003</v>
      </c>
      <c r="D58">
        <v>167</v>
      </c>
      <c r="E58">
        <v>57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M58">
        <v>126887</v>
      </c>
      <c r="N58">
        <v>958768</v>
      </c>
    </row>
    <row r="59" spans="1:14">
      <c r="A59">
        <v>2020</v>
      </c>
      <c r="B59" s="1">
        <f t="shared" si="2"/>
        <v>10.3156</v>
      </c>
      <c r="C59" s="1">
        <f t="shared" si="3"/>
        <v>75.086399999999998</v>
      </c>
      <c r="D59">
        <v>162</v>
      </c>
      <c r="E59">
        <v>58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M59">
        <v>103156</v>
      </c>
      <c r="N59">
        <v>750864</v>
      </c>
    </row>
    <row r="60" spans="1:14">
      <c r="A60">
        <v>2021</v>
      </c>
      <c r="B60" s="1">
        <f t="shared" si="2"/>
        <v>10.493499999999999</v>
      </c>
      <c r="C60" s="1">
        <f t="shared" si="3"/>
        <v>78.157200000000003</v>
      </c>
      <c r="D60">
        <v>192</v>
      </c>
      <c r="E60">
        <v>59</v>
      </c>
      <c r="F60">
        <v>0</v>
      </c>
      <c r="G60">
        <v>0</v>
      </c>
      <c r="H60">
        <v>1</v>
      </c>
      <c r="I60">
        <v>0</v>
      </c>
      <c r="J60">
        <v>1</v>
      </c>
      <c r="K60">
        <v>0</v>
      </c>
      <c r="M60">
        <v>104935</v>
      </c>
      <c r="N60">
        <v>781572</v>
      </c>
    </row>
    <row r="61" spans="1:14">
      <c r="A61">
        <v>2022</v>
      </c>
      <c r="B61" s="1">
        <f t="shared" si="2"/>
        <v>10.1431</v>
      </c>
      <c r="C61" s="1">
        <f t="shared" si="3"/>
        <v>86.636899999999997</v>
      </c>
      <c r="D61">
        <v>195</v>
      </c>
      <c r="E61">
        <v>60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M61">
        <v>101431</v>
      </c>
      <c r="N61">
        <v>866369</v>
      </c>
    </row>
    <row r="62" spans="1:14">
      <c r="A62">
        <v>2023</v>
      </c>
      <c r="B62" s="1">
        <f t="shared" si="2"/>
        <v>10.1861</v>
      </c>
      <c r="C62" s="1">
        <f t="shared" si="3"/>
        <v>86.693700000000007</v>
      </c>
      <c r="D62">
        <v>179</v>
      </c>
      <c r="E62">
        <v>61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M62">
        <v>101861</v>
      </c>
      <c r="N62">
        <v>866937</v>
      </c>
    </row>
    <row r="63" spans="1:14">
      <c r="A63">
        <v>2024</v>
      </c>
      <c r="B63" s="1">
        <f t="shared" si="2"/>
        <v>9.7271000000000001</v>
      </c>
      <c r="C63" s="1">
        <f t="shared" si="3"/>
        <v>83.607100000000003</v>
      </c>
      <c r="D63">
        <v>178</v>
      </c>
      <c r="E63">
        <v>62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M63">
        <v>97271</v>
      </c>
      <c r="N63">
        <v>836071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74C9-0871-40A9-88EE-4DD16B4707A1}">
  <dimension ref="A1:H15"/>
  <sheetViews>
    <sheetView workbookViewId="0">
      <selection activeCell="B4" sqref="B4"/>
    </sheetView>
  </sheetViews>
  <sheetFormatPr defaultRowHeight="18"/>
  <cols>
    <col min="1" max="1" width="18.796875" bestFit="1" customWidth="1"/>
    <col min="4" max="4" width="18.796875" bestFit="1" customWidth="1"/>
    <col min="7" max="7" width="18.796875" bestFit="1" customWidth="1"/>
  </cols>
  <sheetData>
    <row r="1" spans="1:8">
      <c r="A1" s="5" t="s">
        <v>53</v>
      </c>
      <c r="B1" s="5"/>
      <c r="D1" s="5" t="s">
        <v>54</v>
      </c>
      <c r="E1" s="5"/>
      <c r="G1" s="5" t="s">
        <v>52</v>
      </c>
      <c r="H1" s="5"/>
    </row>
    <row r="2" spans="1:8">
      <c r="A2" s="3"/>
      <c r="B2" s="3"/>
      <c r="D2" s="3"/>
      <c r="E2" s="3"/>
      <c r="G2" s="3"/>
      <c r="H2" s="3"/>
    </row>
    <row r="3" spans="1:8">
      <c r="A3" s="3" t="s">
        <v>39</v>
      </c>
      <c r="B3" s="3">
        <v>14.071753225806448</v>
      </c>
      <c r="D3" s="3" t="s">
        <v>39</v>
      </c>
      <c r="E3" s="3">
        <v>58.08359032258064</v>
      </c>
      <c r="G3" s="3" t="s">
        <v>39</v>
      </c>
      <c r="H3" s="3">
        <v>179.30645161290323</v>
      </c>
    </row>
    <row r="4" spans="1:8">
      <c r="A4" s="3" t="s">
        <v>40</v>
      </c>
      <c r="B4" s="3">
        <v>0.30964471587168346</v>
      </c>
      <c r="D4" s="3" t="s">
        <v>40</v>
      </c>
      <c r="E4" s="3">
        <v>2.4525245131718245</v>
      </c>
      <c r="G4" s="3" t="s">
        <v>40</v>
      </c>
      <c r="H4" s="3">
        <v>11.522231258430539</v>
      </c>
    </row>
    <row r="5" spans="1:8">
      <c r="A5" s="3" t="s">
        <v>41</v>
      </c>
      <c r="B5" s="3">
        <v>14.07385</v>
      </c>
      <c r="D5" s="3" t="s">
        <v>41</v>
      </c>
      <c r="E5" s="3">
        <v>54.246750000000006</v>
      </c>
      <c r="G5" s="3" t="s">
        <v>41</v>
      </c>
      <c r="H5" s="3">
        <v>166.5</v>
      </c>
    </row>
    <row r="6" spans="1:8">
      <c r="A6" s="3" t="s">
        <v>42</v>
      </c>
      <c r="B6" s="3" t="e">
        <v>#N/A</v>
      </c>
      <c r="D6" s="3" t="s">
        <v>42</v>
      </c>
      <c r="E6" s="3" t="e">
        <v>#N/A</v>
      </c>
      <c r="G6" s="3" t="s">
        <v>42</v>
      </c>
      <c r="H6" s="3">
        <v>59</v>
      </c>
    </row>
    <row r="7" spans="1:8">
      <c r="A7" s="3" t="s">
        <v>43</v>
      </c>
      <c r="B7" s="3">
        <v>2.4381449309197856</v>
      </c>
      <c r="D7" s="3" t="s">
        <v>43</v>
      </c>
      <c r="E7" s="3">
        <v>19.311197327921931</v>
      </c>
      <c r="G7" s="3" t="s">
        <v>43</v>
      </c>
      <c r="H7" s="3">
        <v>90.726139655067087</v>
      </c>
    </row>
    <row r="8" spans="1:8">
      <c r="A8" s="3" t="s">
        <v>44</v>
      </c>
      <c r="B8" s="3">
        <v>5.9445507041698455</v>
      </c>
      <c r="D8" s="3" t="s">
        <v>44</v>
      </c>
      <c r="E8" s="3">
        <v>372.92234223793912</v>
      </c>
      <c r="G8" s="3" t="s">
        <v>44</v>
      </c>
      <c r="H8" s="3">
        <v>8231.2324167107363</v>
      </c>
    </row>
    <row r="9" spans="1:8">
      <c r="A9" s="3" t="s">
        <v>45</v>
      </c>
      <c r="B9" s="3">
        <v>-1.1893742221285284</v>
      </c>
      <c r="D9" s="3" t="s">
        <v>45</v>
      </c>
      <c r="E9" s="3">
        <v>-0.9708803621703832</v>
      </c>
      <c r="G9" s="3" t="s">
        <v>45</v>
      </c>
      <c r="H9" s="3">
        <v>-0.94696255099433158</v>
      </c>
    </row>
    <row r="10" spans="1:8">
      <c r="A10" s="3" t="s">
        <v>46</v>
      </c>
      <c r="B10" s="3">
        <v>3.7429018855420805E-2</v>
      </c>
      <c r="D10" s="3" t="s">
        <v>46</v>
      </c>
      <c r="E10" s="3">
        <v>0.46678555268072536</v>
      </c>
      <c r="G10" s="3" t="s">
        <v>46</v>
      </c>
      <c r="H10" s="3">
        <v>0.35838633212575194</v>
      </c>
    </row>
    <row r="11" spans="1:8">
      <c r="A11" s="3" t="s">
        <v>47</v>
      </c>
      <c r="B11" s="3">
        <v>8.4055999999999997</v>
      </c>
      <c r="D11" s="3" t="s">
        <v>47</v>
      </c>
      <c r="E11" s="3">
        <v>66.821100000000001</v>
      </c>
      <c r="G11" s="3" t="s">
        <v>47</v>
      </c>
      <c r="H11" s="3">
        <v>305</v>
      </c>
    </row>
    <row r="12" spans="1:8">
      <c r="A12" s="3" t="s">
        <v>48</v>
      </c>
      <c r="B12" s="3">
        <v>9.7271000000000001</v>
      </c>
      <c r="D12" s="3" t="s">
        <v>48</v>
      </c>
      <c r="E12" s="3">
        <v>30.8551</v>
      </c>
      <c r="G12" s="3" t="s">
        <v>48</v>
      </c>
      <c r="H12" s="3">
        <v>54</v>
      </c>
    </row>
    <row r="13" spans="1:8">
      <c r="A13" s="3" t="s">
        <v>49</v>
      </c>
      <c r="B13" s="3">
        <v>18.1327</v>
      </c>
      <c r="D13" s="3" t="s">
        <v>49</v>
      </c>
      <c r="E13" s="3">
        <v>97.676199999999994</v>
      </c>
      <c r="G13" s="3" t="s">
        <v>49</v>
      </c>
      <c r="H13" s="3">
        <v>359</v>
      </c>
    </row>
    <row r="14" spans="1:8">
      <c r="A14" s="3" t="s">
        <v>50</v>
      </c>
      <c r="B14" s="3">
        <v>872.4486999999998</v>
      </c>
      <c r="D14" s="3" t="s">
        <v>50</v>
      </c>
      <c r="E14" s="3">
        <v>3601.1825999999996</v>
      </c>
      <c r="G14" s="3" t="s">
        <v>50</v>
      </c>
      <c r="H14" s="3">
        <v>11117</v>
      </c>
    </row>
    <row r="15" spans="1:8" ht="18.600000000000001" thickBot="1">
      <c r="A15" s="4" t="s">
        <v>51</v>
      </c>
      <c r="B15" s="4">
        <v>62</v>
      </c>
      <c r="D15" s="4" t="s">
        <v>51</v>
      </c>
      <c r="E15" s="4">
        <v>62</v>
      </c>
      <c r="G15" s="4" t="s">
        <v>51</v>
      </c>
      <c r="H15" s="4">
        <v>62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ADCC-AE22-4BC6-91C5-51DBD9E86712}">
  <dimension ref="A1:D63"/>
  <sheetViews>
    <sheetView workbookViewId="0"/>
  </sheetViews>
  <sheetFormatPr defaultRowHeight="18"/>
  <sheetData>
    <row r="1" spans="1:4">
      <c r="B1" t="s">
        <v>11</v>
      </c>
      <c r="C1" t="s">
        <v>12</v>
      </c>
    </row>
    <row r="2" spans="1:4">
      <c r="A2">
        <v>1963</v>
      </c>
      <c r="B2">
        <v>1.2</v>
      </c>
      <c r="C2">
        <v>0.99</v>
      </c>
      <c r="D2" s="2">
        <v>63</v>
      </c>
    </row>
    <row r="3" spans="1:4">
      <c r="A3">
        <v>1964</v>
      </c>
      <c r="B3">
        <v>1.1000000000000001</v>
      </c>
      <c r="C3">
        <v>1.1200000000000001</v>
      </c>
      <c r="D3" s="2">
        <v>64</v>
      </c>
    </row>
    <row r="4" spans="1:4">
      <c r="A4">
        <v>1965</v>
      </c>
      <c r="B4">
        <v>1.3</v>
      </c>
      <c r="C4">
        <v>0.88</v>
      </c>
      <c r="D4" s="2">
        <v>65</v>
      </c>
    </row>
    <row r="5" spans="1:4">
      <c r="A5">
        <v>1966</v>
      </c>
      <c r="B5">
        <v>1.3</v>
      </c>
      <c r="C5">
        <v>1.04</v>
      </c>
      <c r="D5" s="2">
        <v>66</v>
      </c>
    </row>
    <row r="6" spans="1:4">
      <c r="A6">
        <v>1967</v>
      </c>
      <c r="B6">
        <v>1.2</v>
      </c>
      <c r="C6">
        <v>1.32</v>
      </c>
      <c r="D6" s="2">
        <v>67</v>
      </c>
    </row>
    <row r="7" spans="1:4">
      <c r="A7">
        <v>1968</v>
      </c>
      <c r="B7">
        <v>1.1000000000000001</v>
      </c>
      <c r="C7">
        <v>1.36</v>
      </c>
      <c r="D7" s="2">
        <v>68</v>
      </c>
    </row>
    <row r="8" spans="1:4">
      <c r="A8">
        <v>1969</v>
      </c>
      <c r="B8">
        <v>1.1000000000000001</v>
      </c>
      <c r="C8">
        <v>1.54</v>
      </c>
      <c r="D8" s="2">
        <v>69</v>
      </c>
    </row>
    <row r="9" spans="1:4">
      <c r="A9">
        <v>1970</v>
      </c>
      <c r="B9">
        <v>1.2</v>
      </c>
      <c r="C9">
        <v>1.61</v>
      </c>
      <c r="D9" s="2">
        <v>70</v>
      </c>
    </row>
    <row r="10" spans="1:4">
      <c r="A10">
        <v>1971</v>
      </c>
      <c r="B10">
        <v>1.3</v>
      </c>
      <c r="C10">
        <v>1.29</v>
      </c>
      <c r="D10" s="2">
        <v>71</v>
      </c>
    </row>
    <row r="11" spans="1:4">
      <c r="A11">
        <v>1972</v>
      </c>
      <c r="B11">
        <v>1.3</v>
      </c>
      <c r="C11">
        <v>1.51</v>
      </c>
      <c r="D11" s="2">
        <v>72</v>
      </c>
    </row>
    <row r="12" spans="1:4">
      <c r="A12">
        <v>1973</v>
      </c>
      <c r="B12">
        <v>1.3</v>
      </c>
      <c r="C12">
        <v>2.14</v>
      </c>
      <c r="D12" s="2">
        <v>73</v>
      </c>
    </row>
    <row r="13" spans="1:4">
      <c r="A13">
        <v>1974</v>
      </c>
      <c r="B13">
        <v>1.5</v>
      </c>
      <c r="C13">
        <v>1.4</v>
      </c>
      <c r="D13" s="2">
        <v>74</v>
      </c>
    </row>
    <row r="14" spans="1:4">
      <c r="A14">
        <v>1975</v>
      </c>
      <c r="B14">
        <v>1.9</v>
      </c>
      <c r="C14">
        <v>0.97</v>
      </c>
      <c r="D14" s="2">
        <v>75</v>
      </c>
    </row>
    <row r="15" spans="1:4">
      <c r="A15">
        <v>1976</v>
      </c>
      <c r="B15">
        <v>2</v>
      </c>
      <c r="C15">
        <v>1.02</v>
      </c>
      <c r="D15" s="2">
        <v>76</v>
      </c>
    </row>
    <row r="16" spans="1:4">
      <c r="A16">
        <v>1977</v>
      </c>
      <c r="B16">
        <v>2.1</v>
      </c>
      <c r="C16">
        <v>0.85</v>
      </c>
      <c r="D16" s="2">
        <v>77</v>
      </c>
    </row>
    <row r="17" spans="1:4">
      <c r="A17">
        <v>1978</v>
      </c>
      <c r="B17">
        <v>2.2000000000000002</v>
      </c>
      <c r="C17">
        <v>0.91</v>
      </c>
      <c r="D17" s="2">
        <v>78</v>
      </c>
    </row>
    <row r="18" spans="1:4">
      <c r="A18">
        <v>1979</v>
      </c>
      <c r="B18">
        <v>2</v>
      </c>
      <c r="C18">
        <v>1.1100000000000001</v>
      </c>
      <c r="D18" s="2">
        <v>79</v>
      </c>
    </row>
    <row r="19" spans="1:4">
      <c r="A19">
        <v>1980</v>
      </c>
      <c r="B19">
        <v>2.1</v>
      </c>
      <c r="C19">
        <v>1.07</v>
      </c>
      <c r="D19" s="2">
        <v>80</v>
      </c>
    </row>
    <row r="20" spans="1:4">
      <c r="A20">
        <v>1981</v>
      </c>
      <c r="B20">
        <v>2.2000000000000002</v>
      </c>
      <c r="C20">
        <v>0.96</v>
      </c>
      <c r="D20" s="2">
        <v>81</v>
      </c>
    </row>
    <row r="21" spans="1:4">
      <c r="A21">
        <v>1982</v>
      </c>
      <c r="B21">
        <v>2.5</v>
      </c>
      <c r="C21">
        <v>0.87</v>
      </c>
      <c r="D21" s="2">
        <v>82</v>
      </c>
    </row>
    <row r="22" spans="1:4">
      <c r="A22">
        <v>1983</v>
      </c>
      <c r="B22">
        <v>2.7</v>
      </c>
      <c r="C22">
        <v>0.89</v>
      </c>
      <c r="D22" s="2">
        <v>83</v>
      </c>
    </row>
    <row r="23" spans="1:4">
      <c r="A23">
        <v>1984</v>
      </c>
      <c r="B23">
        <v>2.7</v>
      </c>
      <c r="C23">
        <v>0.96</v>
      </c>
      <c r="D23" s="2">
        <v>84</v>
      </c>
    </row>
    <row r="24" spans="1:4">
      <c r="A24">
        <v>1985</v>
      </c>
      <c r="B24">
        <v>2.6</v>
      </c>
      <c r="C24">
        <v>0.97</v>
      </c>
      <c r="D24" s="2">
        <v>85</v>
      </c>
    </row>
    <row r="25" spans="1:4">
      <c r="A25">
        <v>1986</v>
      </c>
      <c r="B25">
        <v>2.8</v>
      </c>
      <c r="C25">
        <v>0.91</v>
      </c>
      <c r="D25" s="2">
        <v>86</v>
      </c>
    </row>
    <row r="26" spans="1:4">
      <c r="A26">
        <v>1987</v>
      </c>
      <c r="B26">
        <v>2.8</v>
      </c>
      <c r="C26">
        <v>1.08</v>
      </c>
      <c r="D26" s="2">
        <v>87</v>
      </c>
    </row>
    <row r="27" spans="1:4">
      <c r="A27">
        <v>1988</v>
      </c>
      <c r="B27">
        <v>2.4</v>
      </c>
      <c r="C27">
        <v>1.53</v>
      </c>
      <c r="D27" s="2">
        <v>88</v>
      </c>
    </row>
    <row r="28" spans="1:4">
      <c r="A28">
        <v>1989</v>
      </c>
      <c r="B28">
        <v>2.2000000000000002</v>
      </c>
      <c r="C28">
        <v>1.85</v>
      </c>
      <c r="D28" s="2">
        <v>89</v>
      </c>
    </row>
    <row r="29" spans="1:4">
      <c r="A29">
        <v>1990</v>
      </c>
      <c r="B29">
        <v>2.1</v>
      </c>
      <c r="C29">
        <v>2.0699999999999998</v>
      </c>
      <c r="D29" s="2">
        <v>90</v>
      </c>
    </row>
    <row r="30" spans="1:4">
      <c r="A30">
        <v>1991</v>
      </c>
      <c r="B30">
        <v>2.1</v>
      </c>
      <c r="C30">
        <v>2.0499999999999998</v>
      </c>
      <c r="D30" s="2">
        <v>91</v>
      </c>
    </row>
    <row r="31" spans="1:4">
      <c r="A31">
        <v>1992</v>
      </c>
      <c r="B31">
        <v>2.2000000000000002</v>
      </c>
      <c r="C31">
        <v>1.61</v>
      </c>
      <c r="D31" s="2">
        <v>92</v>
      </c>
    </row>
    <row r="32" spans="1:4">
      <c r="A32">
        <v>1993</v>
      </c>
      <c r="B32">
        <v>2.6</v>
      </c>
      <c r="C32">
        <v>1.2</v>
      </c>
      <c r="D32" s="2">
        <v>93</v>
      </c>
    </row>
    <row r="33" spans="1:4">
      <c r="A33">
        <v>1994</v>
      </c>
      <c r="B33">
        <v>2.9</v>
      </c>
      <c r="C33">
        <v>1.08</v>
      </c>
      <c r="D33" s="2">
        <v>94</v>
      </c>
    </row>
    <row r="34" spans="1:4">
      <c r="A34">
        <v>1995</v>
      </c>
      <c r="B34">
        <v>3.2</v>
      </c>
      <c r="C34">
        <v>1.06</v>
      </c>
      <c r="D34" s="2">
        <v>95</v>
      </c>
    </row>
    <row r="35" spans="1:4">
      <c r="A35">
        <v>1996</v>
      </c>
      <c r="B35">
        <v>3.3</v>
      </c>
      <c r="C35">
        <v>1.19</v>
      </c>
      <c r="D35" s="2">
        <v>96</v>
      </c>
    </row>
    <row r="36" spans="1:4">
      <c r="A36">
        <v>1997</v>
      </c>
      <c r="B36">
        <v>3.5</v>
      </c>
      <c r="C36">
        <v>1.2</v>
      </c>
      <c r="D36" s="2">
        <v>97</v>
      </c>
    </row>
    <row r="37" spans="1:4">
      <c r="A37">
        <v>1998</v>
      </c>
      <c r="B37">
        <v>4.3</v>
      </c>
      <c r="C37">
        <v>0.92</v>
      </c>
      <c r="D37" s="2">
        <v>98</v>
      </c>
    </row>
    <row r="38" spans="1:4">
      <c r="A38">
        <v>1999</v>
      </c>
      <c r="B38">
        <v>4.7</v>
      </c>
      <c r="C38">
        <v>0.87</v>
      </c>
      <c r="D38" s="2">
        <v>99</v>
      </c>
    </row>
    <row r="39" spans="1:4">
      <c r="A39">
        <v>2000</v>
      </c>
      <c r="B39">
        <v>4.7</v>
      </c>
      <c r="C39">
        <v>1.05</v>
      </c>
      <c r="D39" s="2" t="s">
        <v>13</v>
      </c>
    </row>
    <row r="40" spans="1:4">
      <c r="A40">
        <v>2001</v>
      </c>
      <c r="B40">
        <v>5.2</v>
      </c>
      <c r="C40">
        <v>1.01</v>
      </c>
      <c r="D40" s="2" t="s">
        <v>14</v>
      </c>
    </row>
    <row r="41" spans="1:4">
      <c r="A41">
        <v>2002</v>
      </c>
      <c r="B41">
        <v>5.4</v>
      </c>
      <c r="C41">
        <v>0.93</v>
      </c>
      <c r="D41" s="2" t="s">
        <v>15</v>
      </c>
    </row>
    <row r="42" spans="1:4">
      <c r="A42">
        <v>2003</v>
      </c>
      <c r="B42">
        <v>5.0999999999999996</v>
      </c>
      <c r="C42">
        <v>1.07</v>
      </c>
      <c r="D42" s="2" t="s">
        <v>16</v>
      </c>
    </row>
    <row r="43" spans="1:4">
      <c r="A43">
        <v>2004</v>
      </c>
      <c r="B43">
        <v>4.5999999999999996</v>
      </c>
      <c r="C43">
        <v>1.29</v>
      </c>
      <c r="D43" s="2" t="s">
        <v>17</v>
      </c>
    </row>
    <row r="44" spans="1:4">
      <c r="A44">
        <v>2005</v>
      </c>
      <c r="B44">
        <v>4.3</v>
      </c>
      <c r="C44">
        <v>1.46</v>
      </c>
      <c r="D44" s="2" t="s">
        <v>18</v>
      </c>
    </row>
    <row r="45" spans="1:4">
      <c r="A45">
        <v>2006</v>
      </c>
      <c r="B45">
        <v>4.0999999999999996</v>
      </c>
      <c r="C45">
        <v>1.56</v>
      </c>
      <c r="D45" s="2" t="s">
        <v>19</v>
      </c>
    </row>
    <row r="46" spans="1:4">
      <c r="A46">
        <v>2007</v>
      </c>
      <c r="B46">
        <v>3.8</v>
      </c>
      <c r="C46">
        <v>1.52</v>
      </c>
      <c r="D46" s="2" t="s">
        <v>20</v>
      </c>
    </row>
    <row r="47" spans="1:4">
      <c r="A47">
        <v>2008</v>
      </c>
      <c r="B47">
        <v>4.0999999999999996</v>
      </c>
      <c r="C47">
        <v>1.25</v>
      </c>
      <c r="D47" s="2" t="s">
        <v>21</v>
      </c>
    </row>
    <row r="48" spans="1:4">
      <c r="A48">
        <v>2009</v>
      </c>
      <c r="B48">
        <v>5.2</v>
      </c>
      <c r="C48">
        <v>0.79</v>
      </c>
      <c r="D48" s="2" t="s">
        <v>22</v>
      </c>
    </row>
    <row r="49" spans="1:4">
      <c r="A49">
        <v>2010</v>
      </c>
      <c r="B49">
        <v>4.9000000000000004</v>
      </c>
      <c r="C49">
        <v>0.89</v>
      </c>
      <c r="D49" s="2" t="s">
        <v>23</v>
      </c>
    </row>
    <row r="50" spans="1:4">
      <c r="A50">
        <v>2011</v>
      </c>
      <c r="B50">
        <v>4.5</v>
      </c>
      <c r="C50">
        <v>1.05</v>
      </c>
      <c r="D50" s="2" t="s">
        <v>24</v>
      </c>
    </row>
    <row r="51" spans="1:4">
      <c r="A51">
        <v>2012</v>
      </c>
      <c r="B51">
        <v>4.3</v>
      </c>
      <c r="C51">
        <v>1.28</v>
      </c>
      <c r="D51" s="2" t="s">
        <v>25</v>
      </c>
    </row>
    <row r="52" spans="1:4">
      <c r="A52">
        <v>2013</v>
      </c>
      <c r="B52">
        <v>3.9</v>
      </c>
      <c r="C52">
        <v>1.46</v>
      </c>
      <c r="D52" s="2" t="s">
        <v>26</v>
      </c>
    </row>
    <row r="53" spans="1:4">
      <c r="A53">
        <v>2014</v>
      </c>
      <c r="B53">
        <v>3.5</v>
      </c>
      <c r="C53">
        <v>1.66</v>
      </c>
      <c r="D53" s="2" t="s">
        <v>27</v>
      </c>
    </row>
    <row r="54" spans="1:4">
      <c r="A54">
        <v>2015</v>
      </c>
      <c r="B54">
        <v>3.3</v>
      </c>
      <c r="C54">
        <v>1.8</v>
      </c>
      <c r="D54" s="2" t="s">
        <v>28</v>
      </c>
    </row>
    <row r="55" spans="1:4">
      <c r="A55">
        <v>2016</v>
      </c>
      <c r="B55">
        <v>3</v>
      </c>
      <c r="C55">
        <v>2.04</v>
      </c>
      <c r="D55" s="2" t="s">
        <v>29</v>
      </c>
    </row>
    <row r="56" spans="1:4">
      <c r="A56">
        <v>2017</v>
      </c>
      <c r="B56">
        <v>2.7</v>
      </c>
      <c r="C56">
        <v>2.2400000000000002</v>
      </c>
      <c r="D56" s="2" t="s">
        <v>30</v>
      </c>
    </row>
    <row r="57" spans="1:4">
      <c r="A57">
        <v>2018</v>
      </c>
      <c r="B57">
        <v>2.4</v>
      </c>
      <c r="C57">
        <v>2.39</v>
      </c>
      <c r="D57" s="2" t="s">
        <v>31</v>
      </c>
    </row>
    <row r="58" spans="1:4">
      <c r="A58">
        <v>2019</v>
      </c>
      <c r="B58">
        <v>2.2999999999999998</v>
      </c>
      <c r="C58">
        <v>2.42</v>
      </c>
      <c r="D58" s="2" t="s">
        <v>32</v>
      </c>
    </row>
    <row r="59" spans="1:4">
      <c r="A59">
        <v>2020</v>
      </c>
      <c r="B59">
        <v>2.9</v>
      </c>
      <c r="C59">
        <v>1.95</v>
      </c>
      <c r="D59" s="2" t="s">
        <v>33</v>
      </c>
    </row>
    <row r="60" spans="1:4">
      <c r="A60">
        <v>2021</v>
      </c>
      <c r="B60">
        <v>2.8</v>
      </c>
      <c r="C60">
        <v>2.02</v>
      </c>
      <c r="D60" s="2" t="s">
        <v>34</v>
      </c>
    </row>
    <row r="61" spans="1:4">
      <c r="A61">
        <v>2022</v>
      </c>
      <c r="B61">
        <v>2.6</v>
      </c>
      <c r="C61">
        <v>2.2599999999999998</v>
      </c>
      <c r="D61" s="2" t="s">
        <v>35</v>
      </c>
    </row>
    <row r="62" spans="1:4">
      <c r="A62">
        <v>2023</v>
      </c>
      <c r="B62">
        <v>2.6</v>
      </c>
      <c r="C62">
        <v>2.29</v>
      </c>
      <c r="D62" s="2" t="s">
        <v>36</v>
      </c>
    </row>
    <row r="63" spans="1:4">
      <c r="A63">
        <v>2024</v>
      </c>
      <c r="B63">
        <v>2.5</v>
      </c>
      <c r="C63">
        <v>2.25</v>
      </c>
      <c r="D63" s="2" t="s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グラフ</vt:lpstr>
      </vt:variant>
      <vt:variant>
        <vt:i4>1</vt:i4>
      </vt:variant>
    </vt:vector>
  </HeadingPairs>
  <TitlesOfParts>
    <vt:vector size="4" baseType="lpstr">
      <vt:lpstr>推計用データ</vt:lpstr>
      <vt:lpstr>基本統計量</vt:lpstr>
      <vt:lpstr>UV曲線データ</vt:lpstr>
      <vt:lpstr>UV曲線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康佑 岸本</dc:creator>
  <cp:lastModifiedBy>康佑 岸本</cp:lastModifiedBy>
  <dcterms:created xsi:type="dcterms:W3CDTF">2025-12-26T06:52:02Z</dcterms:created>
  <dcterms:modified xsi:type="dcterms:W3CDTF">2026-01-01T15:42:06Z</dcterms:modified>
</cp:coreProperties>
</file>